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13_ncr:1_{91505001-5BC2-492F-9B06-85DE627D6D4D}" xr6:coauthVersionLast="47" xr6:coauthVersionMax="47" xr10:uidLastSave="{00000000-0000-0000-0000-000000000000}"/>
  <bookViews>
    <workbookView xWindow="-108" yWindow="-108" windowWidth="23256" windowHeight="12456" xr2:uid="{C122E9A8-8413-4B2E-9BD8-E1AA3483AFB1}"/>
  </bookViews>
  <sheets>
    <sheet name="Datos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6" i="2" l="1"/>
  <c r="G166" i="2"/>
  <c r="B161" i="2"/>
  <c r="G161" i="2"/>
  <c r="B156" i="2"/>
  <c r="G156" i="2"/>
  <c r="B155" i="2"/>
  <c r="G155" i="2"/>
  <c r="B154" i="2"/>
  <c r="G154" i="2"/>
  <c r="B147" i="2"/>
  <c r="G147" i="2"/>
  <c r="B153" i="2"/>
  <c r="G153" i="2"/>
  <c r="B145" i="2"/>
  <c r="G145" i="2"/>
  <c r="B143" i="2"/>
  <c r="G143" i="2"/>
  <c r="B142" i="2"/>
  <c r="G142" i="2"/>
  <c r="B139" i="2"/>
  <c r="G139" i="2"/>
  <c r="B138" i="2"/>
  <c r="G138" i="2"/>
  <c r="B135" i="2"/>
  <c r="G135" i="2"/>
  <c r="B160" i="2"/>
  <c r="G160" i="2"/>
  <c r="B152" i="2"/>
  <c r="G152" i="2"/>
  <c r="B146" i="2"/>
  <c r="G146" i="2"/>
  <c r="B7" i="2"/>
  <c r="G7" i="2"/>
  <c r="B10" i="2"/>
  <c r="G10" i="2"/>
  <c r="B12" i="2"/>
  <c r="G12" i="2"/>
  <c r="B17" i="2"/>
  <c r="G17" i="2"/>
  <c r="B11" i="2"/>
  <c r="G11" i="2"/>
  <c r="B16" i="2"/>
  <c r="G16" i="2"/>
  <c r="B165" i="2"/>
  <c r="G165" i="2"/>
  <c r="B115" i="2"/>
  <c r="G115" i="2"/>
  <c r="B112" i="2"/>
  <c r="G112" i="2"/>
  <c r="B134" i="2"/>
  <c r="G134" i="2"/>
  <c r="B133" i="2"/>
  <c r="G133" i="2"/>
  <c r="B132" i="2"/>
  <c r="G132" i="2"/>
  <c r="B123" i="2"/>
  <c r="G123" i="2"/>
  <c r="B120" i="2"/>
  <c r="G120" i="2"/>
  <c r="B158" i="2"/>
  <c r="G158" i="2"/>
  <c r="B9" i="2"/>
  <c r="G9" i="2"/>
  <c r="B6" i="2"/>
  <c r="G6" i="2"/>
  <c r="B159" i="2"/>
  <c r="G159" i="2"/>
  <c r="B8" i="2"/>
  <c r="G8" i="2"/>
  <c r="B164" i="2"/>
  <c r="G164" i="2"/>
  <c r="B15" i="2"/>
  <c r="G15" i="2"/>
  <c r="B151" i="2"/>
  <c r="G151" i="2"/>
  <c r="B14" i="2"/>
  <c r="G14" i="2"/>
  <c r="B13" i="2"/>
  <c r="G13" i="2"/>
  <c r="B114" i="2"/>
  <c r="G114" i="2"/>
  <c r="B111" i="2"/>
  <c r="G111" i="2"/>
  <c r="B131" i="2"/>
  <c r="G131" i="2"/>
  <c r="B130" i="2"/>
  <c r="G130" i="2"/>
  <c r="B129" i="2"/>
  <c r="G129" i="2"/>
  <c r="B122" i="2"/>
  <c r="G122" i="2"/>
  <c r="B119" i="2"/>
  <c r="G119" i="2"/>
  <c r="B157" i="2"/>
  <c r="G157" i="2"/>
  <c r="B148" i="2"/>
  <c r="B149" i="2"/>
  <c r="B150" i="2"/>
  <c r="B162" i="2"/>
  <c r="B163" i="2"/>
  <c r="G148" i="2"/>
  <c r="G149" i="2"/>
  <c r="G150" i="2"/>
  <c r="G162" i="2"/>
  <c r="G163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3" i="2"/>
  <c r="B116" i="2"/>
  <c r="B117" i="2"/>
  <c r="B118" i="2"/>
  <c r="B121" i="2"/>
  <c r="B124" i="2"/>
  <c r="B125" i="2"/>
  <c r="B126" i="2"/>
  <c r="B127" i="2"/>
  <c r="B128" i="2"/>
  <c r="B136" i="2"/>
  <c r="B137" i="2"/>
  <c r="B140" i="2"/>
  <c r="B141" i="2"/>
  <c r="B144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3" i="2"/>
  <c r="G116" i="2"/>
  <c r="G117" i="2"/>
  <c r="G118" i="2"/>
  <c r="G121" i="2"/>
  <c r="G124" i="2"/>
  <c r="G125" i="2"/>
  <c r="G126" i="2"/>
  <c r="G127" i="2"/>
  <c r="G128" i="2"/>
  <c r="G136" i="2"/>
  <c r="G137" i="2"/>
  <c r="G140" i="2"/>
  <c r="G141" i="2"/>
  <c r="G144" i="2"/>
  <c r="B19" i="2"/>
  <c r="B20" i="2"/>
  <c r="B21" i="2"/>
  <c r="B22" i="2"/>
  <c r="B23" i="2"/>
  <c r="B24" i="2"/>
  <c r="B25" i="2"/>
  <c r="B26" i="2"/>
  <c r="B27" i="2"/>
  <c r="B28" i="2"/>
  <c r="B29" i="2"/>
  <c r="B55" i="2"/>
  <c r="B56" i="2"/>
  <c r="B57" i="2"/>
  <c r="B58" i="2"/>
  <c r="B59" i="2"/>
  <c r="B60" i="2"/>
  <c r="B61" i="2"/>
  <c r="B62" i="2"/>
  <c r="B63" i="2"/>
  <c r="B64" i="2"/>
  <c r="B65" i="2"/>
  <c r="B66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18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18" i="2"/>
  <c r="G19" i="2"/>
  <c r="G20" i="2"/>
  <c r="G21" i="2"/>
  <c r="G22" i="2"/>
  <c r="G23" i="2"/>
  <c r="G24" i="2"/>
  <c r="G25" i="2"/>
  <c r="G26" i="2"/>
  <c r="G27" i="2"/>
  <c r="G28" i="2"/>
  <c r="G29" i="2"/>
  <c r="G55" i="2"/>
  <c r="G56" i="2"/>
  <c r="G57" i="2"/>
  <c r="G58" i="2"/>
  <c r="G59" i="2"/>
  <c r="G60" i="2"/>
  <c r="G61" i="2"/>
  <c r="G62" i="2"/>
  <c r="G63" i="2"/>
  <c r="G64" i="2"/>
  <c r="G65" i="2"/>
  <c r="G66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B4" i="2"/>
  <c r="K104" i="2" s="1"/>
  <c r="H104" i="2" s="1"/>
  <c r="K166" i="2" l="1"/>
  <c r="H166" i="2" s="1"/>
  <c r="K161" i="2"/>
  <c r="H161" i="2" s="1"/>
  <c r="K156" i="2"/>
  <c r="H156" i="2" s="1"/>
  <c r="K155" i="2"/>
  <c r="H155" i="2" s="1"/>
  <c r="K154" i="2"/>
  <c r="H154" i="2" s="1"/>
  <c r="K147" i="2"/>
  <c r="H147" i="2" s="1"/>
  <c r="K153" i="2"/>
  <c r="H153" i="2" s="1"/>
  <c r="K145" i="2"/>
  <c r="H145" i="2" s="1"/>
  <c r="K143" i="2"/>
  <c r="H143" i="2" s="1"/>
  <c r="K142" i="2"/>
  <c r="H142" i="2" s="1"/>
  <c r="K139" i="2"/>
  <c r="H139" i="2" s="1"/>
  <c r="K138" i="2"/>
  <c r="H138" i="2" s="1"/>
  <c r="K135" i="2"/>
  <c r="H135" i="2" s="1"/>
  <c r="K160" i="2"/>
  <c r="H160" i="2" s="1"/>
  <c r="K152" i="2"/>
  <c r="H152" i="2" s="1"/>
  <c r="K146" i="2"/>
  <c r="H146" i="2" s="1"/>
  <c r="K7" i="2"/>
  <c r="H7" i="2" s="1"/>
  <c r="K10" i="2"/>
  <c r="H10" i="2" s="1"/>
  <c r="K12" i="2"/>
  <c r="H12" i="2" s="1"/>
  <c r="K17" i="2"/>
  <c r="H17" i="2" s="1"/>
  <c r="K11" i="2"/>
  <c r="H11" i="2" s="1"/>
  <c r="K16" i="2"/>
  <c r="H16" i="2" s="1"/>
  <c r="K165" i="2"/>
  <c r="H165" i="2" s="1"/>
  <c r="K115" i="2"/>
  <c r="H115" i="2" s="1"/>
  <c r="K112" i="2"/>
  <c r="H112" i="2" s="1"/>
  <c r="K134" i="2"/>
  <c r="H134" i="2" s="1"/>
  <c r="K133" i="2"/>
  <c r="H133" i="2" s="1"/>
  <c r="K132" i="2"/>
  <c r="H132" i="2" s="1"/>
  <c r="K123" i="2"/>
  <c r="H123" i="2" s="1"/>
  <c r="K120" i="2"/>
  <c r="H120" i="2" s="1"/>
  <c r="K158" i="2"/>
  <c r="H158" i="2" s="1"/>
  <c r="K9" i="2"/>
  <c r="H9" i="2" s="1"/>
  <c r="K6" i="2"/>
  <c r="H6" i="2" s="1"/>
  <c r="K159" i="2"/>
  <c r="H159" i="2" s="1"/>
  <c r="K8" i="2"/>
  <c r="H8" i="2" s="1"/>
  <c r="K164" i="2"/>
  <c r="H164" i="2" s="1"/>
  <c r="K15" i="2"/>
  <c r="H15" i="2" s="1"/>
  <c r="K151" i="2"/>
  <c r="H151" i="2" s="1"/>
  <c r="K14" i="2"/>
  <c r="H14" i="2" s="1"/>
  <c r="K13" i="2"/>
  <c r="H13" i="2" s="1"/>
  <c r="K114" i="2"/>
  <c r="H114" i="2" s="1"/>
  <c r="K111" i="2"/>
  <c r="H111" i="2" s="1"/>
  <c r="K131" i="2"/>
  <c r="H131" i="2" s="1"/>
  <c r="K130" i="2"/>
  <c r="H130" i="2" s="1"/>
  <c r="K129" i="2"/>
  <c r="H129" i="2" s="1"/>
  <c r="K122" i="2"/>
  <c r="H122" i="2" s="1"/>
  <c r="K119" i="2"/>
  <c r="H119" i="2" s="1"/>
  <c r="K157" i="2"/>
  <c r="H157" i="2" s="1"/>
  <c r="K162" i="2"/>
  <c r="H162" i="2" s="1"/>
  <c r="K150" i="2"/>
  <c r="H150" i="2" s="1"/>
  <c r="K163" i="2"/>
  <c r="H163" i="2" s="1"/>
  <c r="K149" i="2"/>
  <c r="H149" i="2" s="1"/>
  <c r="K148" i="2"/>
  <c r="H148" i="2" s="1"/>
  <c r="K136" i="2"/>
  <c r="H136" i="2" s="1"/>
  <c r="K97" i="2"/>
  <c r="H97" i="2" s="1"/>
  <c r="K109" i="2"/>
  <c r="H109" i="2" s="1"/>
  <c r="K125" i="2"/>
  <c r="H125" i="2" s="1"/>
  <c r="K105" i="2"/>
  <c r="H105" i="2" s="1"/>
  <c r="K128" i="2"/>
  <c r="H128" i="2" s="1"/>
  <c r="K108" i="2"/>
  <c r="H108" i="2" s="1"/>
  <c r="K121" i="2"/>
  <c r="H121" i="2" s="1"/>
  <c r="K103" i="2"/>
  <c r="H103" i="2" s="1"/>
  <c r="K118" i="2"/>
  <c r="H118" i="2" s="1"/>
  <c r="K102" i="2"/>
  <c r="H102" i="2" s="1"/>
  <c r="K140" i="2"/>
  <c r="H140" i="2" s="1"/>
  <c r="K113" i="2"/>
  <c r="H113" i="2" s="1"/>
  <c r="K99" i="2"/>
  <c r="H99" i="2" s="1"/>
  <c r="K137" i="2"/>
  <c r="H137" i="2" s="1"/>
  <c r="K110" i="2"/>
  <c r="H110" i="2" s="1"/>
  <c r="K98" i="2"/>
  <c r="H98" i="2" s="1"/>
  <c r="K144" i="2"/>
  <c r="H144" i="2" s="1"/>
  <c r="K117" i="2"/>
  <c r="H117" i="2" s="1"/>
  <c r="K101" i="2"/>
  <c r="H101" i="2" s="1"/>
  <c r="K141" i="2"/>
  <c r="H141" i="2" s="1"/>
  <c r="K116" i="2"/>
  <c r="H116" i="2" s="1"/>
  <c r="K100" i="2"/>
  <c r="H100" i="2" s="1"/>
  <c r="K127" i="2"/>
  <c r="H127" i="2" s="1"/>
  <c r="K107" i="2"/>
  <c r="H107" i="2" s="1"/>
  <c r="K126" i="2"/>
  <c r="H126" i="2" s="1"/>
  <c r="K106" i="2"/>
  <c r="H106" i="2" s="1"/>
  <c r="K124" i="2"/>
  <c r="H124" i="2" s="1"/>
  <c r="K67" i="2"/>
  <c r="H67" i="2" s="1"/>
  <c r="K90" i="2"/>
  <c r="H90" i="2" s="1"/>
  <c r="K86" i="2"/>
  <c r="H86" i="2" s="1"/>
  <c r="K78" i="2"/>
  <c r="H78" i="2" s="1"/>
  <c r="K74" i="2"/>
  <c r="H74" i="2" s="1"/>
  <c r="K95" i="2"/>
  <c r="H95" i="2" s="1"/>
  <c r="K70" i="2"/>
  <c r="H70" i="2" s="1"/>
  <c r="K89" i="2"/>
  <c r="H89" i="2" s="1"/>
  <c r="K77" i="2"/>
  <c r="H77" i="2" s="1"/>
  <c r="K88" i="2"/>
  <c r="H88" i="2" s="1"/>
  <c r="K76" i="2"/>
  <c r="H76" i="2" s="1"/>
  <c r="K87" i="2"/>
  <c r="H87" i="2" s="1"/>
  <c r="K75" i="2"/>
  <c r="H75" i="2" s="1"/>
  <c r="K72" i="2"/>
  <c r="H72" i="2" s="1"/>
  <c r="K96" i="2"/>
  <c r="H96" i="2" s="1"/>
  <c r="K84" i="2"/>
  <c r="H84" i="2" s="1"/>
  <c r="K83" i="2"/>
  <c r="H83" i="2" s="1"/>
  <c r="K71" i="2"/>
  <c r="H71" i="2" s="1"/>
  <c r="K94" i="2"/>
  <c r="H94" i="2" s="1"/>
  <c r="K82" i="2"/>
  <c r="H82" i="2" s="1"/>
  <c r="K93" i="2"/>
  <c r="H93" i="2" s="1"/>
  <c r="K81" i="2"/>
  <c r="H81" i="2" s="1"/>
  <c r="K69" i="2"/>
  <c r="H69" i="2" s="1"/>
  <c r="K85" i="2"/>
  <c r="H85" i="2" s="1"/>
  <c r="K92" i="2"/>
  <c r="H92" i="2" s="1"/>
  <c r="K80" i="2"/>
  <c r="H80" i="2" s="1"/>
  <c r="K68" i="2"/>
  <c r="H68" i="2" s="1"/>
  <c r="K73" i="2"/>
  <c r="H73" i="2" s="1"/>
  <c r="K91" i="2"/>
  <c r="H91" i="2" s="1"/>
  <c r="K79" i="2"/>
  <c r="H79" i="2" s="1"/>
  <c r="K53" i="2"/>
  <c r="H53" i="2" s="1"/>
  <c r="K48" i="2"/>
  <c r="H48" i="2" s="1"/>
  <c r="K55" i="2"/>
  <c r="H55" i="2" s="1"/>
  <c r="K39" i="2"/>
  <c r="H39" i="2" s="1"/>
  <c r="K21" i="2"/>
  <c r="H21" i="2" s="1"/>
  <c r="K30" i="2"/>
  <c r="H30" i="2" s="1"/>
  <c r="K31" i="2"/>
  <c r="H31" i="2" s="1"/>
  <c r="K47" i="2"/>
  <c r="H47" i="2" s="1"/>
  <c r="K64" i="2"/>
  <c r="H64" i="2" s="1"/>
  <c r="K38" i="2"/>
  <c r="H38" i="2" s="1"/>
  <c r="K65" i="2"/>
  <c r="H65" i="2" s="1"/>
  <c r="K20" i="2"/>
  <c r="H20" i="2" s="1"/>
  <c r="K50" i="2"/>
  <c r="H50" i="2" s="1"/>
  <c r="K57" i="2"/>
  <c r="H57" i="2" s="1"/>
  <c r="K56" i="2"/>
  <c r="H56" i="2" s="1"/>
  <c r="K40" i="2"/>
  <c r="H40" i="2" s="1"/>
  <c r="K24" i="2"/>
  <c r="H24" i="2" s="1"/>
  <c r="K22" i="2"/>
  <c r="H22" i="2" s="1"/>
  <c r="K23" i="2"/>
  <c r="H23" i="2" s="1"/>
  <c r="K59" i="2"/>
  <c r="H59" i="2" s="1"/>
  <c r="K26" i="2"/>
  <c r="H26" i="2" s="1"/>
  <c r="K60" i="2"/>
  <c r="H60" i="2" s="1"/>
  <c r="K61" i="2"/>
  <c r="H61" i="2" s="1"/>
  <c r="K43" i="2"/>
  <c r="H43" i="2" s="1"/>
  <c r="K25" i="2"/>
  <c r="H25" i="2" s="1"/>
  <c r="K32" i="2"/>
  <c r="H32" i="2" s="1"/>
  <c r="K42" i="2"/>
  <c r="H42" i="2" s="1"/>
  <c r="K51" i="2"/>
  <c r="H51" i="2" s="1"/>
  <c r="K52" i="2"/>
  <c r="H52" i="2" s="1"/>
  <c r="K18" i="2"/>
  <c r="H18" i="2" s="1"/>
  <c r="K54" i="2"/>
  <c r="H54" i="2" s="1"/>
  <c r="K28" i="2"/>
  <c r="H28" i="2" s="1"/>
  <c r="K63" i="2"/>
  <c r="H63" i="2" s="1"/>
  <c r="K35" i="2"/>
  <c r="H35" i="2" s="1"/>
  <c r="K34" i="2"/>
  <c r="H34" i="2" s="1"/>
  <c r="K27" i="2"/>
  <c r="H27" i="2" s="1"/>
  <c r="K44" i="2"/>
  <c r="H44" i="2" s="1"/>
  <c r="K19" i="2"/>
  <c r="H19" i="2" s="1"/>
  <c r="K36" i="2"/>
  <c r="H36" i="2" s="1"/>
  <c r="K46" i="2"/>
  <c r="H46" i="2" s="1"/>
  <c r="K62" i="2"/>
  <c r="H62" i="2" s="1"/>
  <c r="K66" i="2"/>
  <c r="H66" i="2" s="1"/>
  <c r="K33" i="2"/>
  <c r="H33" i="2" s="1"/>
  <c r="K37" i="2"/>
  <c r="H37" i="2" s="1"/>
  <c r="K49" i="2"/>
  <c r="H49" i="2" s="1"/>
  <c r="K58" i="2"/>
  <c r="H58" i="2" s="1"/>
  <c r="K45" i="2"/>
  <c r="H45" i="2" s="1"/>
  <c r="K41" i="2"/>
  <c r="H41" i="2" s="1"/>
  <c r="K29" i="2"/>
  <c r="H29" i="2" s="1"/>
</calcChain>
</file>

<file path=xl/sharedStrings.xml><?xml version="1.0" encoding="utf-8"?>
<sst xmlns="http://schemas.openxmlformats.org/spreadsheetml/2006/main" count="489" uniqueCount="200">
  <si>
    <t>No</t>
  </si>
  <si>
    <t>Cliente</t>
  </si>
  <si>
    <t>Celular</t>
  </si>
  <si>
    <t>Fecha Emision</t>
  </si>
  <si>
    <t>Dias a vencer</t>
  </si>
  <si>
    <t>Fecha Vencimiento</t>
  </si>
  <si>
    <t>Alerta</t>
  </si>
  <si>
    <t>Forma de pago</t>
  </si>
  <si>
    <t>Valor Mensual</t>
  </si>
  <si>
    <t>Dias</t>
  </si>
  <si>
    <t>Meses Pagados</t>
  </si>
  <si>
    <t>Sulay Guevara</t>
  </si>
  <si>
    <t>098 831 5362</t>
  </si>
  <si>
    <t>Tranferencia</t>
  </si>
  <si>
    <t>Mayra</t>
  </si>
  <si>
    <t>096 000 8351</t>
  </si>
  <si>
    <t>Efectivo</t>
  </si>
  <si>
    <t>Reinscrita</t>
  </si>
  <si>
    <t>Brayan Iza</t>
  </si>
  <si>
    <t>096 288 5692</t>
  </si>
  <si>
    <t>Dario Iza</t>
  </si>
  <si>
    <t>097 886 3208</t>
  </si>
  <si>
    <t>Jenny Martínez</t>
  </si>
  <si>
    <t>098 825 5375</t>
  </si>
  <si>
    <t>Grace Martínez</t>
  </si>
  <si>
    <t>099 709 1131</t>
  </si>
  <si>
    <t>Karen Martínez</t>
  </si>
  <si>
    <t>099 006 3212</t>
  </si>
  <si>
    <t>Mónica Andrango</t>
  </si>
  <si>
    <t>099 422 3723</t>
  </si>
  <si>
    <t>Jordana Andrade</t>
  </si>
  <si>
    <t>Cristian Jimenez</t>
  </si>
  <si>
    <t>099 958 7850</t>
  </si>
  <si>
    <t>David Jimenez</t>
  </si>
  <si>
    <t>096 000 1691</t>
  </si>
  <si>
    <t>Jhonathan Heredia</t>
  </si>
  <si>
    <t>093 907 7450</t>
  </si>
  <si>
    <t>Alexander Linda</t>
  </si>
  <si>
    <t>098 642 1493</t>
  </si>
  <si>
    <t>Willian Monta</t>
  </si>
  <si>
    <t>099 986 5557</t>
  </si>
  <si>
    <t>Joel Saltos</t>
  </si>
  <si>
    <t>099 871 7897</t>
  </si>
  <si>
    <t>Jimmy</t>
  </si>
  <si>
    <t>097 871 7887</t>
  </si>
  <si>
    <t>Angelo</t>
  </si>
  <si>
    <t>099 258 9908</t>
  </si>
  <si>
    <t>Santos Pilligua</t>
  </si>
  <si>
    <t>099 106 4511</t>
  </si>
  <si>
    <t>Varga</t>
  </si>
  <si>
    <t>099 490 9423</t>
  </si>
  <si>
    <t>Helen Granizo</t>
  </si>
  <si>
    <t>099 608 4678</t>
  </si>
  <si>
    <t>Selena Pacheco</t>
  </si>
  <si>
    <t>098 015 9211</t>
  </si>
  <si>
    <t>Susana</t>
  </si>
  <si>
    <t>099 071 0626</t>
  </si>
  <si>
    <t>Camila Quilca</t>
  </si>
  <si>
    <t>098 779 9194</t>
  </si>
  <si>
    <t>Evelyn Aucatoma</t>
  </si>
  <si>
    <t>098 398 1360</t>
  </si>
  <si>
    <t>Rosa Pozo</t>
  </si>
  <si>
    <t>098 065 3017</t>
  </si>
  <si>
    <t>Sherly Arellano</t>
  </si>
  <si>
    <t>098 851 2295</t>
  </si>
  <si>
    <t>Ronald Morejon</t>
  </si>
  <si>
    <t>098 461 8611</t>
  </si>
  <si>
    <t>Kevin Churuchumbi</t>
  </si>
  <si>
    <t>098 462 6031</t>
  </si>
  <si>
    <t>Vanesssa Cuaran</t>
  </si>
  <si>
    <t>099 465 5197</t>
  </si>
  <si>
    <t>Kevin Altoledo</t>
  </si>
  <si>
    <t>096 257 5710</t>
  </si>
  <si>
    <t>Sandi Santacruz</t>
  </si>
  <si>
    <t>099 470 8477</t>
  </si>
  <si>
    <t>Diana Sabri</t>
  </si>
  <si>
    <t>099 075 0654</t>
  </si>
  <si>
    <t>Nixon Morillo</t>
  </si>
  <si>
    <t xml:space="preserve"> 096 372 6413</t>
  </si>
  <si>
    <t>Valeri Gonzales</t>
  </si>
  <si>
    <t>096 313 4979</t>
  </si>
  <si>
    <t>Victoria Ramirez</t>
  </si>
  <si>
    <t>098 231 3330</t>
  </si>
  <si>
    <t>Maria Veloz</t>
  </si>
  <si>
    <t xml:space="preserve">Hjia-Valeri </t>
  </si>
  <si>
    <t>Cinthia Anrrango</t>
  </si>
  <si>
    <t>098 779 9194 - sobrina Camila</t>
  </si>
  <si>
    <t>Mateo Mayorga</t>
  </si>
  <si>
    <t>095 880 9079</t>
  </si>
  <si>
    <t>Papa Mateo Mayorga</t>
  </si>
  <si>
    <t>Jhon Cedeño</t>
  </si>
  <si>
    <t>098 481 6443</t>
  </si>
  <si>
    <t>Francisco Taco</t>
  </si>
  <si>
    <t>Esposa Francisco</t>
  </si>
  <si>
    <t xml:space="preserve">Andy Guevara </t>
  </si>
  <si>
    <t>Anthony Rea</t>
  </si>
  <si>
    <t>098 136 4767</t>
  </si>
  <si>
    <t>Freddy Vega</t>
  </si>
  <si>
    <t>098 179 8788</t>
  </si>
  <si>
    <t>Jefferson Vega</t>
  </si>
  <si>
    <t>Cristian ferreteria</t>
  </si>
  <si>
    <t>099 635 0256</t>
  </si>
  <si>
    <t>Yola esposa-cristian</t>
  </si>
  <si>
    <t>Prima cristian ferreteria</t>
  </si>
  <si>
    <t>098 300 0039</t>
  </si>
  <si>
    <t>096 948 1122</t>
  </si>
  <si>
    <t>Geovana Quilca</t>
  </si>
  <si>
    <t>Alezander Muñoz</t>
  </si>
  <si>
    <t>099 269 4976</t>
  </si>
  <si>
    <t>Gabriela Flores</t>
  </si>
  <si>
    <t>096 053 2709</t>
  </si>
  <si>
    <t>Esperanza Flores</t>
  </si>
  <si>
    <t>099 565 9468</t>
  </si>
  <si>
    <t>Maria Taco</t>
  </si>
  <si>
    <t>Reinscripcion</t>
  </si>
  <si>
    <t>Francisco Quisilema</t>
  </si>
  <si>
    <t>098 864 7616</t>
  </si>
  <si>
    <t>Geovana Valencia</t>
  </si>
  <si>
    <t>095 899 0465</t>
  </si>
  <si>
    <t>Marilyn Varga</t>
  </si>
  <si>
    <t>Daniel Rodriguez</t>
  </si>
  <si>
    <t>098 110 4230</t>
  </si>
  <si>
    <t>Maria Rea</t>
  </si>
  <si>
    <t>099 824 1555</t>
  </si>
  <si>
    <t>Alciber Cruz</t>
  </si>
  <si>
    <t>099 934 1373</t>
  </si>
  <si>
    <t>Yolanda Ferreteria</t>
  </si>
  <si>
    <t>Cuñada Yolanda</t>
  </si>
  <si>
    <t>Bryan Diaz</t>
  </si>
  <si>
    <t>093 9991 082</t>
  </si>
  <si>
    <t>Erik Intriago</t>
  </si>
  <si>
    <t>098 784 8195</t>
  </si>
  <si>
    <t>Rafael Carvajal</t>
  </si>
  <si>
    <t>098 303 2178</t>
  </si>
  <si>
    <t xml:space="preserve">Jimmy Cortéz </t>
  </si>
  <si>
    <t>098 084 4116</t>
  </si>
  <si>
    <t>Anita Rea</t>
  </si>
  <si>
    <t>098 254 7352</t>
  </si>
  <si>
    <t>Marina Torres</t>
  </si>
  <si>
    <t>098 764 3980</t>
  </si>
  <si>
    <t>Reinscrito</t>
  </si>
  <si>
    <t>Gabriela Maleza</t>
  </si>
  <si>
    <t>098 402 9724</t>
  </si>
  <si>
    <t>Jennifer Bolaños</t>
  </si>
  <si>
    <t>096 957 3068</t>
  </si>
  <si>
    <t>096 267 3143</t>
  </si>
  <si>
    <t>Vicente Montoña</t>
  </si>
  <si>
    <t>099 3780 835</t>
  </si>
  <si>
    <t xml:space="preserve">Yolanda </t>
  </si>
  <si>
    <t>Andrea</t>
  </si>
  <si>
    <t xml:space="preserve">Cristian </t>
  </si>
  <si>
    <t>CarlosMayorga</t>
  </si>
  <si>
    <t>Carla Bolaños</t>
  </si>
  <si>
    <t>Silverio Gomez</t>
  </si>
  <si>
    <t>Efrain Teran</t>
  </si>
  <si>
    <t>Alfonsa Gloria</t>
  </si>
  <si>
    <t>Diana Herandez</t>
  </si>
  <si>
    <t>Abigail Intriago</t>
  </si>
  <si>
    <t>Emily Carvajal</t>
  </si>
  <si>
    <t>Odalis Zambrano</t>
  </si>
  <si>
    <t>Leonardo Tandalla</t>
  </si>
  <si>
    <t>Mateo Sanchez</t>
  </si>
  <si>
    <t>Domenica Campoverde</t>
  </si>
  <si>
    <t>Jennifer Pillajo</t>
  </si>
  <si>
    <t>Dayana Cuaran</t>
  </si>
  <si>
    <t>Melani Torres</t>
  </si>
  <si>
    <t>Vanessa Granados</t>
  </si>
  <si>
    <t>Angie Acuria</t>
  </si>
  <si>
    <t>Emely Sanchez</t>
  </si>
  <si>
    <t>Jacob Morales</t>
  </si>
  <si>
    <t>Sarahi Morales</t>
  </si>
  <si>
    <t>Neicer Ruiz</t>
  </si>
  <si>
    <t>Santiago Perez</t>
  </si>
  <si>
    <t>Mateo Navarro</t>
  </si>
  <si>
    <t>Esteban Campoverde</t>
  </si>
  <si>
    <t xml:space="preserve">Mariana Almeida </t>
  </si>
  <si>
    <t>Norma Flores</t>
  </si>
  <si>
    <t xml:space="preserve">Maria Bazurto </t>
  </si>
  <si>
    <t>Dayanara Flores</t>
  </si>
  <si>
    <t>Alisson Astudillo</t>
  </si>
  <si>
    <t>Emilio Bustamante</t>
  </si>
  <si>
    <t>Carlos Torres</t>
  </si>
  <si>
    <t>Mateo Tobar</t>
  </si>
  <si>
    <t>Sara Andrade</t>
  </si>
  <si>
    <t>Edison Navarrete</t>
  </si>
  <si>
    <t>Blanca Cobos</t>
  </si>
  <si>
    <t>Issac Martinez</t>
  </si>
  <si>
    <t>Jesus Caluqui</t>
  </si>
  <si>
    <t>Jeremy Diaz</t>
  </si>
  <si>
    <t>Jorge Morales</t>
  </si>
  <si>
    <t>Camilo Angarita</t>
  </si>
  <si>
    <t>Carla Salazar</t>
  </si>
  <si>
    <t>Camila Rocha</t>
  </si>
  <si>
    <t>Astrid Lopez</t>
  </si>
  <si>
    <t>Andrea Quiranza</t>
  </si>
  <si>
    <t>Eduardo Estrella</t>
  </si>
  <si>
    <t>Juan Jose Patiño</t>
  </si>
  <si>
    <t>Emilia Teran</t>
  </si>
  <si>
    <t>Romina Pazmiño</t>
  </si>
  <si>
    <t>Katerin Espinoza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</si>
</sst>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164" fontId="0" fillId="0" borderId="0" xfId="1" applyFont="1"/>
    <xf numFmtId="14" fontId="2" fillId="2" borderId="1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14" fontId="3" fillId="3" borderId="2" xfId="0" applyNumberFormat="1" applyFont="1" applyFill="1" applyBorder="1" applyAlignment="1">
      <alignment horizontal="center" vertical="center"/>
    </xf>
    <xf numFmtId="164" fontId="3" fillId="3" borderId="2" xfId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right"/>
    </xf>
    <xf numFmtId="14" fontId="0" fillId="0" borderId="2" xfId="0" applyNumberFormat="1" applyBorder="1"/>
    <xf numFmtId="164" fontId="0" fillId="0" borderId="2" xfId="1" applyFont="1" applyBorder="1"/>
    <xf numFmtId="164" fontId="4" fillId="0" borderId="2" xfId="1" applyFont="1" applyBorder="1"/>
    <xf numFmtId="164" fontId="0" fillId="0" borderId="0" xfId="0" applyNumberFormat="1"/>
    <xf numFmtId="2" fontId="0" fillId="0" borderId="2" xfId="0" applyNumberForma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14" fontId="0" fillId="0" borderId="1" xfId="0" applyNumberFormat="1" applyBorder="1"/>
    <xf numFmtId="164" fontId="0" fillId="0" borderId="1" xfId="1" applyFont="1" applyBorder="1"/>
    <xf numFmtId="0" fontId="0" fillId="0" borderId="4" xfId="0" applyBorder="1"/>
    <xf numFmtId="14" fontId="0" fillId="0" borderId="2" xfId="0" applyNumberFormat="1" applyBorder="1" applyAlignment="1">
      <alignment horizontal="right"/>
    </xf>
    <xf numFmtId="0" fontId="0" fillId="0" borderId="1" xfId="0" applyBorder="1" applyAlignment="1">
      <alignment horizontal="left" vertical="center" wrapText="1"/>
    </xf>
    <xf numFmtId="0" fontId="6" fillId="0" borderId="1" xfId="2" applyFont="1" applyBorder="1"/>
    <xf numFmtId="164" fontId="4" fillId="0" borderId="1" xfId="1" applyFont="1" applyBorder="1"/>
  </cellXfs>
  <cellStyles count="3">
    <cellStyle name="Hipervínculo" xfId="2" builtinId="8"/>
    <cellStyle name="Moneda 2" xfId="1" xr:uid="{FB7F1A90-F8A7-47E1-8FB7-190BAC19EC17}"/>
    <cellStyle name="Normal" xfId="0" builtinId="0"/>
  </cellStyles>
  <dxfs count="2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 patternType="solid"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C9165B-ED3A-4BAF-843D-F32A367C846D}" name="FEBRERO" displayName="FEBRERO" ref="B5:M166" totalsRowShown="0" headerRowDxfId="15" headerRowBorderDxfId="14" tableBorderDxfId="13" totalsRowBorderDxfId="12">
  <autoFilter ref="B5:M166" xr:uid="{ECC6C5EB-7856-4DA9-B430-C50FB04669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B6:M166">
    <sortCondition ref="E6:E166"/>
  </sortState>
  <tableColumns count="12">
    <tableColumn id="1" xr3:uid="{2EF09E8D-03F4-4343-BF57-4C4B589938D8}" name="No" dataDxfId="11">
      <calculatedColumnFormula>ROW()-ROW(FEBRERO[[#Headers],[No]])</calculatedColumnFormula>
    </tableColumn>
    <tableColumn id="2" xr3:uid="{98C412E9-F83D-4C08-BD73-80C180C3F286}" name="Cliente" dataDxfId="10"/>
    <tableColumn id="3" xr3:uid="{BB730E29-0D3E-42BA-B45A-7FBC86201825}" name="Celular" dataDxfId="9"/>
    <tableColumn id="4" xr3:uid="{CE1E2C0A-2E5A-409E-A155-D164373C67A8}" name="Fecha Emision" dataDxfId="8"/>
    <tableColumn id="5" xr3:uid="{07DBA2F7-1B34-4F0E-951D-078A25B334F6}" name="Dias a vencer" dataDxfId="7"/>
    <tableColumn id="6" xr3:uid="{64CE4418-81CE-492C-8049-C5A1AE7BF838}" name="Fecha Vencimiento" dataDxfId="6">
      <calculatedColumnFormula>IF(FEBRERO[[#This Row],[Dias a vencer]]="","",E6+F6)</calculatedColumnFormula>
    </tableColumn>
    <tableColumn id="7" xr3:uid="{0D26D237-9C75-497D-92C7-7D1D2FD05051}" name="Alerta" dataDxfId="5">
      <calculatedColumnFormula>IF(K6&lt;0,"Vencido hace"&amp;K6*-1&amp;" dias",IF(K6=0,"Vence hoy",IF(K6&lt;4,"Tiene "&amp;K6&amp;" dias","Faltan "&amp;K6&amp;" dias")))</calculatedColumnFormula>
    </tableColumn>
    <tableColumn id="8" xr3:uid="{BD20DC7E-E9FD-4531-ABBD-A5FE0FFF671D}" name="Forma de pago" dataDxfId="4"/>
    <tableColumn id="12" xr3:uid="{275F9B45-596C-45C1-8EAA-C31ADA46381D}" name="Valor Mensual" dataDxfId="3"/>
    <tableColumn id="9" xr3:uid="{0D33CC56-F0B5-4D57-BF35-5BAEAACFAD42}" name="Dias" dataDxfId="2">
      <calculatedColumnFormula>G6-$B$4</calculatedColumnFormula>
    </tableColumn>
    <tableColumn id="10" xr3:uid="{D1EE101D-D244-4857-AAFB-6A9B2CD043A9}" name="Meses Pagados" dataDxfId="1"/>
    <tableColumn id="11" xr3:uid="{6688F37F-76CC-470E-807A-27FDBE48D4A5}" name="Reinscrip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5640C-8197-4617-851D-0105197DBA71}">
  <sheetPr codeName="Hoja1"/>
  <dimension ref="B4:N166"/>
  <sheetViews>
    <sheetView tabSelected="1" topLeftCell="A114" zoomScaleNormal="100" workbookViewId="0">
      <selection activeCell="L133" sqref="L133"/>
    </sheetView>
  </sheetViews>
  <sheetFormatPr baseColWidth="10" defaultRowHeight="14.4" x14ac:dyDescent="0.3"/>
  <cols>
    <col min="2" max="2" width="9.77734375" bestFit="1" customWidth="1"/>
    <col min="3" max="3" width="20.44140625" bestFit="1" customWidth="1"/>
    <col min="4" max="4" width="15.44140625" style="1" customWidth="1"/>
    <col min="5" max="5" width="12.88671875" style="2" bestFit="1" customWidth="1"/>
    <col min="6" max="6" width="12" bestFit="1" customWidth="1"/>
    <col min="7" max="7" width="17.109375" style="2" bestFit="1" customWidth="1"/>
    <col min="8" max="8" width="17.6640625" bestFit="1" customWidth="1"/>
    <col min="9" max="9" width="20.88671875" bestFit="1" customWidth="1"/>
    <col min="10" max="10" width="14.44140625" style="3" bestFit="1" customWidth="1"/>
    <col min="11" max="11" width="4.44140625" bestFit="1" customWidth="1"/>
    <col min="12" max="12" width="13.88671875" bestFit="1" customWidth="1"/>
  </cols>
  <sheetData>
    <row r="4" spans="2:13" ht="22.8" customHeight="1" x14ac:dyDescent="0.3">
      <c r="B4" s="4">
        <f ca="1">TODAY()</f>
        <v>45051</v>
      </c>
    </row>
    <row r="5" spans="2:13" ht="21" customHeight="1" x14ac:dyDescent="0.3">
      <c r="B5" s="5" t="s">
        <v>0</v>
      </c>
      <c r="C5" s="5" t="s">
        <v>1</v>
      </c>
      <c r="D5" s="5" t="s">
        <v>2</v>
      </c>
      <c r="E5" s="6" t="s">
        <v>3</v>
      </c>
      <c r="F5" s="5" t="s">
        <v>4</v>
      </c>
      <c r="G5" s="6" t="s">
        <v>5</v>
      </c>
      <c r="H5" s="5" t="s">
        <v>6</v>
      </c>
      <c r="I5" s="5" t="s">
        <v>7</v>
      </c>
      <c r="J5" s="7" t="s">
        <v>8</v>
      </c>
      <c r="K5" s="8" t="s">
        <v>9</v>
      </c>
      <c r="L5" s="9" t="s">
        <v>10</v>
      </c>
      <c r="M5" s="9" t="s">
        <v>114</v>
      </c>
    </row>
    <row r="6" spans="2:13" x14ac:dyDescent="0.3">
      <c r="B6" s="10">
        <f>ROW()-ROW(FEBRERO[[#Headers],[No]])</f>
        <v>1</v>
      </c>
      <c r="C6" s="10" t="s">
        <v>168</v>
      </c>
      <c r="D6" s="11" t="s">
        <v>74</v>
      </c>
      <c r="E6" s="12">
        <v>44964</v>
      </c>
      <c r="F6" s="10">
        <v>28</v>
      </c>
      <c r="G6" s="12">
        <f>IF(FEBRERO[[#This Row],[Dias a vencer]]="","",E6+F6)</f>
        <v>44992</v>
      </c>
      <c r="H6" s="10" t="str">
        <f t="shared" ref="H6:H37" ca="1" si="0">IF(K6&lt;0,"Vencido hace"&amp;K6*-1&amp;" dias",IF(K6=0,"Vence hoy",IF(K6&lt;4,"Tiene "&amp;K6&amp;" dias","Faltan "&amp;K6&amp;" dias")))</f>
        <v>Vencido hace59 dias</v>
      </c>
      <c r="I6" s="10" t="s">
        <v>16</v>
      </c>
      <c r="J6" s="13">
        <v>20</v>
      </c>
      <c r="K6" s="10">
        <f t="shared" ref="K6:K37" ca="1" si="1">G6-$B$4</f>
        <v>-59</v>
      </c>
      <c r="L6" s="21"/>
      <c r="M6" s="10"/>
    </row>
    <row r="7" spans="2:13" x14ac:dyDescent="0.3">
      <c r="B7" s="10">
        <f>ROW()-ROW(FEBRERO[[#Headers],[No]])</f>
        <v>2</v>
      </c>
      <c r="C7" s="10" t="s">
        <v>184</v>
      </c>
      <c r="D7" s="11" t="s">
        <v>121</v>
      </c>
      <c r="E7" s="12">
        <v>44964</v>
      </c>
      <c r="F7" s="10">
        <v>28</v>
      </c>
      <c r="G7" s="12">
        <f>IF(FEBRERO[[#This Row],[Dias a vencer]]="","",E7+F7)</f>
        <v>44992</v>
      </c>
      <c r="H7" s="10" t="str">
        <f t="shared" ca="1" si="0"/>
        <v>Vencido hace59 dias</v>
      </c>
      <c r="I7" s="10" t="s">
        <v>16</v>
      </c>
      <c r="J7" s="13">
        <v>20</v>
      </c>
      <c r="K7" s="10">
        <f t="shared" ca="1" si="1"/>
        <v>-59</v>
      </c>
      <c r="L7" s="10"/>
      <c r="M7" s="10"/>
    </row>
    <row r="8" spans="2:13" x14ac:dyDescent="0.3">
      <c r="B8" s="10">
        <f>ROW()-ROW(FEBRERO[[#Headers],[No]])</f>
        <v>3</v>
      </c>
      <c r="C8" s="10" t="s">
        <v>166</v>
      </c>
      <c r="D8" s="11" t="s">
        <v>112</v>
      </c>
      <c r="E8" s="12">
        <v>44966</v>
      </c>
      <c r="F8" s="10">
        <v>28</v>
      </c>
      <c r="G8" s="12">
        <f>IF(FEBRERO[[#This Row],[Dias a vencer]]="","",E8+F8)</f>
        <v>44994</v>
      </c>
      <c r="H8" s="10" t="str">
        <f t="shared" ca="1" si="0"/>
        <v>Vencido hace57 dias</v>
      </c>
      <c r="I8" s="10" t="s">
        <v>13</v>
      </c>
      <c r="J8" s="13">
        <v>20</v>
      </c>
      <c r="K8" s="10">
        <f t="shared" ca="1" si="1"/>
        <v>-57</v>
      </c>
      <c r="L8" s="10"/>
      <c r="M8" s="10"/>
    </row>
    <row r="9" spans="2:13" x14ac:dyDescent="0.3">
      <c r="B9" s="10">
        <f>ROW()-ROW(FEBRERO[[#Headers],[No]])</f>
        <v>4</v>
      </c>
      <c r="C9" s="10" t="s">
        <v>169</v>
      </c>
      <c r="D9" s="11" t="s">
        <v>116</v>
      </c>
      <c r="E9" s="12">
        <v>44966</v>
      </c>
      <c r="F9" s="10">
        <v>28</v>
      </c>
      <c r="G9" s="12">
        <f>IF(FEBRERO[[#This Row],[Dias a vencer]]="","",E9+F9)</f>
        <v>44994</v>
      </c>
      <c r="H9" s="10" t="str">
        <f t="shared" ca="1" si="0"/>
        <v>Vencido hace57 dias</v>
      </c>
      <c r="I9" s="10" t="s">
        <v>16</v>
      </c>
      <c r="J9" s="13">
        <v>20</v>
      </c>
      <c r="K9" s="10">
        <f t="shared" ca="1" si="1"/>
        <v>-57</v>
      </c>
      <c r="L9" s="10"/>
      <c r="M9" s="10"/>
    </row>
    <row r="10" spans="2:13" x14ac:dyDescent="0.3">
      <c r="B10" s="10">
        <f>ROW()-ROW(FEBRERO[[#Headers],[No]])</f>
        <v>5</v>
      </c>
      <c r="C10" s="10" t="s">
        <v>183</v>
      </c>
      <c r="D10" s="11" t="s">
        <v>145</v>
      </c>
      <c r="E10" s="12">
        <v>44966</v>
      </c>
      <c r="F10" s="10">
        <v>28</v>
      </c>
      <c r="G10" s="12">
        <f>IF(FEBRERO[[#This Row],[Dias a vencer]]="","",E10+F10)</f>
        <v>44994</v>
      </c>
      <c r="H10" s="10" t="str">
        <f t="shared" ca="1" si="0"/>
        <v>Vencido hace57 dias</v>
      </c>
      <c r="I10" s="10" t="s">
        <v>13</v>
      </c>
      <c r="J10" s="13">
        <v>20</v>
      </c>
      <c r="K10" s="10">
        <f t="shared" ca="1" si="1"/>
        <v>-57</v>
      </c>
      <c r="L10" s="10"/>
      <c r="M10" s="10"/>
    </row>
    <row r="11" spans="2:13" x14ac:dyDescent="0.3">
      <c r="B11" s="10">
        <f>ROW()-ROW(FEBRERO[[#Headers],[No]])</f>
        <v>6</v>
      </c>
      <c r="C11" s="10" t="s">
        <v>180</v>
      </c>
      <c r="D11" s="11" t="s">
        <v>139</v>
      </c>
      <c r="E11" s="12">
        <v>44967</v>
      </c>
      <c r="F11" s="10">
        <v>28</v>
      </c>
      <c r="G11" s="12">
        <f>IF(FEBRERO[[#This Row],[Dias a vencer]]="","",E11+F11)</f>
        <v>44995</v>
      </c>
      <c r="H11" s="10" t="str">
        <f t="shared" ca="1" si="0"/>
        <v>Vencido hace56 dias</v>
      </c>
      <c r="I11" s="10" t="s">
        <v>13</v>
      </c>
      <c r="J11" s="13">
        <v>20</v>
      </c>
      <c r="K11" s="10">
        <f t="shared" ca="1" si="1"/>
        <v>-56</v>
      </c>
      <c r="L11" s="10"/>
      <c r="M11" s="10"/>
    </row>
    <row r="12" spans="2:13" x14ac:dyDescent="0.3">
      <c r="B12" s="10">
        <f>ROW()-ROW(FEBRERO[[#Headers],[No]])</f>
        <v>7</v>
      </c>
      <c r="C12" s="10" t="s">
        <v>182</v>
      </c>
      <c r="D12" s="11" t="s">
        <v>144</v>
      </c>
      <c r="E12" s="12">
        <v>44967</v>
      </c>
      <c r="F12" s="10">
        <v>28</v>
      </c>
      <c r="G12" s="12">
        <f>IF(FEBRERO[[#This Row],[Dias a vencer]]="","",E12+F12)</f>
        <v>44995</v>
      </c>
      <c r="H12" s="10" t="str">
        <f t="shared" ca="1" si="0"/>
        <v>Vencido hace56 dias</v>
      </c>
      <c r="I12" s="10" t="s">
        <v>16</v>
      </c>
      <c r="J12" s="13">
        <v>20</v>
      </c>
      <c r="K12" s="10">
        <f t="shared" ca="1" si="1"/>
        <v>-56</v>
      </c>
      <c r="L12" s="10"/>
      <c r="M12" s="10"/>
    </row>
    <row r="13" spans="2:13" x14ac:dyDescent="0.3">
      <c r="B13" s="10">
        <f>ROW()-ROW(FEBRERO[[#Headers],[No]])</f>
        <v>8</v>
      </c>
      <c r="C13" s="10" t="s">
        <v>161</v>
      </c>
      <c r="D13" s="11" t="s">
        <v>29</v>
      </c>
      <c r="E13" s="12">
        <v>44969</v>
      </c>
      <c r="F13" s="10">
        <v>28</v>
      </c>
      <c r="G13" s="12">
        <f>IF(FEBRERO[[#This Row],[Dias a vencer]]="","",E13+F13)</f>
        <v>44997</v>
      </c>
      <c r="H13" s="10" t="str">
        <f t="shared" ca="1" si="0"/>
        <v>Vencido hace54 dias</v>
      </c>
      <c r="I13" s="10" t="s">
        <v>16</v>
      </c>
      <c r="J13" s="13">
        <v>20</v>
      </c>
      <c r="K13" s="10">
        <f t="shared" ca="1" si="1"/>
        <v>-54</v>
      </c>
      <c r="L13" s="10"/>
      <c r="M13" s="10"/>
    </row>
    <row r="14" spans="2:13" x14ac:dyDescent="0.3">
      <c r="B14" s="10">
        <f>ROW()-ROW(FEBRERO[[#Headers],[No]])</f>
        <v>9</v>
      </c>
      <c r="C14" s="10" t="s">
        <v>162</v>
      </c>
      <c r="D14" s="11"/>
      <c r="E14" s="12">
        <v>44969</v>
      </c>
      <c r="F14" s="10">
        <v>28</v>
      </c>
      <c r="G14" s="12">
        <f>IF(FEBRERO[[#This Row],[Dias a vencer]]="","",E14+F14)</f>
        <v>44997</v>
      </c>
      <c r="H14" s="10" t="str">
        <f t="shared" ca="1" si="0"/>
        <v>Vencido hace54 dias</v>
      </c>
      <c r="I14" s="10" t="s">
        <v>16</v>
      </c>
      <c r="J14" s="13">
        <v>20</v>
      </c>
      <c r="K14" s="10">
        <f t="shared" ca="1" si="1"/>
        <v>-54</v>
      </c>
      <c r="L14" s="10"/>
      <c r="M14" s="10"/>
    </row>
    <row r="15" spans="2:13" x14ac:dyDescent="0.3">
      <c r="B15" s="10">
        <f>ROW()-ROW(FEBRERO[[#Headers],[No]])</f>
        <v>10</v>
      </c>
      <c r="C15" s="10" t="s">
        <v>164</v>
      </c>
      <c r="D15" s="11" t="s">
        <v>108</v>
      </c>
      <c r="E15" s="12">
        <v>44969</v>
      </c>
      <c r="F15" s="10">
        <v>28</v>
      </c>
      <c r="G15" s="12">
        <f>IF(FEBRERO[[#This Row],[Dias a vencer]]="","",E15+F15)</f>
        <v>44997</v>
      </c>
      <c r="H15" s="10" t="str">
        <f t="shared" ca="1" si="0"/>
        <v>Vencido hace54 dias</v>
      </c>
      <c r="I15" s="10" t="s">
        <v>13</v>
      </c>
      <c r="J15" s="13">
        <v>20</v>
      </c>
      <c r="K15" s="10">
        <f t="shared" ca="1" si="1"/>
        <v>-54</v>
      </c>
      <c r="L15" s="10"/>
      <c r="M15" s="10"/>
    </row>
    <row r="16" spans="2:13" x14ac:dyDescent="0.3">
      <c r="B16" s="10">
        <f>ROW()-ROW(FEBRERO[[#Headers],[No]])</f>
        <v>11</v>
      </c>
      <c r="C16" s="10" t="s">
        <v>179</v>
      </c>
      <c r="D16" s="11"/>
      <c r="E16" s="12">
        <v>44969</v>
      </c>
      <c r="F16" s="10">
        <v>28</v>
      </c>
      <c r="G16" s="12">
        <f>IF(FEBRERO[[#This Row],[Dias a vencer]]="","",E16+F16)</f>
        <v>44997</v>
      </c>
      <c r="H16" s="10" t="str">
        <f t="shared" ca="1" si="0"/>
        <v>Vencido hace54 dias</v>
      </c>
      <c r="I16" s="10" t="s">
        <v>16</v>
      </c>
      <c r="J16" s="13">
        <v>20</v>
      </c>
      <c r="K16" s="10">
        <f t="shared" ca="1" si="1"/>
        <v>-54</v>
      </c>
      <c r="L16" s="10"/>
      <c r="M16" s="10"/>
    </row>
    <row r="17" spans="2:14" x14ac:dyDescent="0.3">
      <c r="B17" s="10">
        <f>ROW()-ROW(FEBRERO[[#Headers],[No]])</f>
        <v>12</v>
      </c>
      <c r="C17" s="10" t="s">
        <v>181</v>
      </c>
      <c r="D17" s="22" t="s">
        <v>142</v>
      </c>
      <c r="E17" s="12">
        <v>44969</v>
      </c>
      <c r="F17" s="10">
        <v>28</v>
      </c>
      <c r="G17" s="12">
        <f>IF(FEBRERO[[#This Row],[Dias a vencer]]="","",E17+F17)</f>
        <v>44997</v>
      </c>
      <c r="H17" s="10" t="str">
        <f t="shared" ca="1" si="0"/>
        <v>Vencido hace54 dias</v>
      </c>
      <c r="I17" s="10" t="s">
        <v>13</v>
      </c>
      <c r="J17" s="13">
        <v>20</v>
      </c>
      <c r="K17" s="10">
        <f t="shared" ca="1" si="1"/>
        <v>-54</v>
      </c>
      <c r="L17" s="10"/>
      <c r="M17" s="10"/>
    </row>
    <row r="18" spans="2:14" x14ac:dyDescent="0.3">
      <c r="B18" s="10">
        <f>ROW()-ROW(FEBRERO[[#Headers],[No]])</f>
        <v>13</v>
      </c>
      <c r="C18" s="10" t="s">
        <v>11</v>
      </c>
      <c r="D18" s="11" t="s">
        <v>12</v>
      </c>
      <c r="E18" s="12">
        <v>44970</v>
      </c>
      <c r="F18" s="10">
        <v>40</v>
      </c>
      <c r="G18" s="12">
        <f>IF(FEBRERO[[#This Row],[Dias a vencer]]="","",E18+F18)</f>
        <v>45010</v>
      </c>
      <c r="H18" s="10" t="str">
        <f t="shared" ca="1" si="0"/>
        <v>Vencido hace41 dias</v>
      </c>
      <c r="I18" s="10" t="s">
        <v>13</v>
      </c>
      <c r="J18" s="13">
        <v>20</v>
      </c>
      <c r="K18" s="10">
        <f t="shared" ca="1" si="1"/>
        <v>-41</v>
      </c>
      <c r="L18" s="10"/>
      <c r="M18" s="10"/>
    </row>
    <row r="19" spans="2:14" x14ac:dyDescent="0.3">
      <c r="B19" s="10">
        <f>ROW()-ROW(FEBRERO[[#Headers],[No]])</f>
        <v>14</v>
      </c>
      <c r="C19" s="10" t="s">
        <v>14</v>
      </c>
      <c r="D19" s="11" t="s">
        <v>15</v>
      </c>
      <c r="E19" s="12">
        <v>44970</v>
      </c>
      <c r="F19" s="10">
        <v>40</v>
      </c>
      <c r="G19" s="12">
        <f>IF(FEBRERO[[#This Row],[Dias a vencer]]="","",E19+F19)</f>
        <v>45010</v>
      </c>
      <c r="H19" s="10" t="str">
        <f t="shared" ca="1" si="0"/>
        <v>Vencido hace41 dias</v>
      </c>
      <c r="I19" s="10" t="s">
        <v>16</v>
      </c>
      <c r="J19" s="13">
        <v>20</v>
      </c>
      <c r="K19" s="10">
        <f t="shared" ca="1" si="1"/>
        <v>-41</v>
      </c>
      <c r="L19" s="10"/>
      <c r="M19" s="10" t="s">
        <v>17</v>
      </c>
    </row>
    <row r="20" spans="2:14" x14ac:dyDescent="0.3">
      <c r="B20" s="10">
        <f>ROW()-ROW(FEBRERO[[#Headers],[No]])</f>
        <v>15</v>
      </c>
      <c r="C20" s="10" t="s">
        <v>18</v>
      </c>
      <c r="D20" s="11" t="s">
        <v>19</v>
      </c>
      <c r="E20" s="12">
        <v>44970</v>
      </c>
      <c r="F20" s="10">
        <v>40</v>
      </c>
      <c r="G20" s="12">
        <f>IF(FEBRERO[[#This Row],[Dias a vencer]]="","",E20+F20)</f>
        <v>45010</v>
      </c>
      <c r="H20" s="10" t="str">
        <f t="shared" ca="1" si="0"/>
        <v>Vencido hace41 dias</v>
      </c>
      <c r="I20" s="10" t="s">
        <v>16</v>
      </c>
      <c r="J20" s="13">
        <v>17.5</v>
      </c>
      <c r="K20" s="10">
        <f t="shared" ca="1" si="1"/>
        <v>-41</v>
      </c>
      <c r="L20" s="10"/>
      <c r="M20" s="10"/>
    </row>
    <row r="21" spans="2:14" x14ac:dyDescent="0.3">
      <c r="B21" s="10">
        <f>ROW()-ROW(FEBRERO[[#Headers],[No]])</f>
        <v>16</v>
      </c>
      <c r="C21" s="10" t="s">
        <v>20</v>
      </c>
      <c r="D21" s="11" t="s">
        <v>21</v>
      </c>
      <c r="E21" s="12">
        <v>44970</v>
      </c>
      <c r="F21" s="10">
        <v>40</v>
      </c>
      <c r="G21" s="12">
        <f>IF(FEBRERO[[#This Row],[Dias a vencer]]="","",E21+F21)</f>
        <v>45010</v>
      </c>
      <c r="H21" s="10" t="str">
        <f t="shared" ca="1" si="0"/>
        <v>Vencido hace41 dias</v>
      </c>
      <c r="I21" s="10" t="s">
        <v>16</v>
      </c>
      <c r="J21" s="13">
        <v>17.5</v>
      </c>
      <c r="K21" s="10">
        <f t="shared" ca="1" si="1"/>
        <v>-41</v>
      </c>
      <c r="L21" s="10"/>
      <c r="M21" s="10"/>
    </row>
    <row r="22" spans="2:14" x14ac:dyDescent="0.3">
      <c r="B22" s="10">
        <f>ROW()-ROW(FEBRERO[[#Headers],[No]])</f>
        <v>17</v>
      </c>
      <c r="C22" s="10" t="s">
        <v>22</v>
      </c>
      <c r="D22" s="11" t="s">
        <v>23</v>
      </c>
      <c r="E22" s="12">
        <v>44970</v>
      </c>
      <c r="F22" s="10">
        <v>40</v>
      </c>
      <c r="G22" s="12">
        <f>IF(FEBRERO[[#This Row],[Dias a vencer]]="","",E22+F22)</f>
        <v>45010</v>
      </c>
      <c r="H22" s="10" t="str">
        <f t="shared" ca="1" si="0"/>
        <v>Vencido hace41 dias</v>
      </c>
      <c r="I22" s="10" t="s">
        <v>16</v>
      </c>
      <c r="J22" s="13">
        <v>20</v>
      </c>
      <c r="K22" s="10">
        <f t="shared" ca="1" si="1"/>
        <v>-41</v>
      </c>
      <c r="L22" s="10"/>
      <c r="M22" s="10"/>
    </row>
    <row r="23" spans="2:14" x14ac:dyDescent="0.3">
      <c r="B23" s="10">
        <f>ROW()-ROW(FEBRERO[[#Headers],[No]])</f>
        <v>18</v>
      </c>
      <c r="C23" s="10" t="s">
        <v>24</v>
      </c>
      <c r="D23" s="11" t="s">
        <v>25</v>
      </c>
      <c r="E23" s="12">
        <v>44970</v>
      </c>
      <c r="F23" s="10">
        <v>40</v>
      </c>
      <c r="G23" s="12">
        <f>IF(FEBRERO[[#This Row],[Dias a vencer]]="","",E23+F23)</f>
        <v>45010</v>
      </c>
      <c r="H23" s="10" t="str">
        <f t="shared" ca="1" si="0"/>
        <v>Vencido hace41 dias</v>
      </c>
      <c r="I23" s="10" t="s">
        <v>13</v>
      </c>
      <c r="J23" s="13">
        <v>17.5</v>
      </c>
      <c r="K23" s="10">
        <f t="shared" ca="1" si="1"/>
        <v>-41</v>
      </c>
      <c r="L23" s="10"/>
      <c r="M23" s="10"/>
    </row>
    <row r="24" spans="2:14" x14ac:dyDescent="0.3">
      <c r="B24" s="10">
        <f>ROW()-ROW(FEBRERO[[#Headers],[No]])</f>
        <v>19</v>
      </c>
      <c r="C24" s="10" t="s">
        <v>26</v>
      </c>
      <c r="D24" s="11" t="s">
        <v>27</v>
      </c>
      <c r="E24" s="12">
        <v>44970</v>
      </c>
      <c r="F24" s="10">
        <v>40</v>
      </c>
      <c r="G24" s="12">
        <f>IF(FEBRERO[[#This Row],[Dias a vencer]]="","",E24+F24)</f>
        <v>45010</v>
      </c>
      <c r="H24" s="10" t="str">
        <f t="shared" ca="1" si="0"/>
        <v>Vencido hace41 dias</v>
      </c>
      <c r="I24" s="10" t="s">
        <v>13</v>
      </c>
      <c r="J24" s="13">
        <v>17.5</v>
      </c>
      <c r="K24" s="10">
        <f t="shared" ca="1" si="1"/>
        <v>-41</v>
      </c>
      <c r="L24" s="10"/>
      <c r="M24" s="10"/>
    </row>
    <row r="25" spans="2:14" x14ac:dyDescent="0.3">
      <c r="B25" s="10">
        <f>ROW()-ROW(FEBRERO[[#Headers],[No]])</f>
        <v>20</v>
      </c>
      <c r="C25" s="10" t="s">
        <v>28</v>
      </c>
      <c r="D25" s="11" t="s">
        <v>29</v>
      </c>
      <c r="E25" s="12">
        <v>44970</v>
      </c>
      <c r="F25" s="10">
        <v>40</v>
      </c>
      <c r="G25" s="12">
        <f>IF(FEBRERO[[#This Row],[Dias a vencer]]="","",E25+F25)</f>
        <v>45010</v>
      </c>
      <c r="H25" s="10" t="str">
        <f t="shared" ca="1" si="0"/>
        <v>Vencido hace41 dias</v>
      </c>
      <c r="I25" s="10" t="s">
        <v>16</v>
      </c>
      <c r="J25" s="13">
        <v>17.5</v>
      </c>
      <c r="K25" s="10">
        <f t="shared" ca="1" si="1"/>
        <v>-41</v>
      </c>
      <c r="L25" s="10"/>
      <c r="M25" s="10" t="s">
        <v>17</v>
      </c>
    </row>
    <row r="26" spans="2:14" x14ac:dyDescent="0.3">
      <c r="B26" s="10">
        <f>ROW()-ROW(FEBRERO[[#Headers],[No]])</f>
        <v>21</v>
      </c>
      <c r="C26" s="10" t="s">
        <v>30</v>
      </c>
      <c r="D26" s="11"/>
      <c r="E26" s="12">
        <v>44970</v>
      </c>
      <c r="F26" s="10">
        <v>40</v>
      </c>
      <c r="G26" s="12">
        <f>IF(FEBRERO[[#This Row],[Dias a vencer]]="","",E26+F26)</f>
        <v>45010</v>
      </c>
      <c r="H26" s="10" t="str">
        <f t="shared" ca="1" si="0"/>
        <v>Vencido hace41 dias</v>
      </c>
      <c r="I26" s="10" t="s">
        <v>16</v>
      </c>
      <c r="J26" s="13">
        <v>17.5</v>
      </c>
      <c r="K26" s="10">
        <f t="shared" ca="1" si="1"/>
        <v>-41</v>
      </c>
      <c r="L26" s="10"/>
      <c r="M26" s="10" t="s">
        <v>17</v>
      </c>
    </row>
    <row r="27" spans="2:14" x14ac:dyDescent="0.3">
      <c r="B27" s="10">
        <f>ROW()-ROW(FEBRERO[[#Headers],[No]])</f>
        <v>22</v>
      </c>
      <c r="C27" s="10" t="s">
        <v>31</v>
      </c>
      <c r="D27" s="11" t="s">
        <v>32</v>
      </c>
      <c r="E27" s="12">
        <v>44970</v>
      </c>
      <c r="F27" s="10">
        <v>40</v>
      </c>
      <c r="G27" s="12">
        <f>IF(FEBRERO[[#This Row],[Dias a vencer]]="","",E27+F27)</f>
        <v>45010</v>
      </c>
      <c r="H27" s="10" t="str">
        <f t="shared" ca="1" si="0"/>
        <v>Vencido hace41 dias</v>
      </c>
      <c r="I27" s="10" t="s">
        <v>16</v>
      </c>
      <c r="J27" s="13">
        <v>17.5</v>
      </c>
      <c r="K27" s="10">
        <f t="shared" ca="1" si="1"/>
        <v>-41</v>
      </c>
      <c r="L27" s="10"/>
      <c r="M27" s="10" t="s">
        <v>17</v>
      </c>
      <c r="N27" s="15"/>
    </row>
    <row r="28" spans="2:14" x14ac:dyDescent="0.3">
      <c r="B28" s="10">
        <f>ROW()-ROW(FEBRERO[[#Headers],[No]])</f>
        <v>23</v>
      </c>
      <c r="C28" s="10" t="s">
        <v>33</v>
      </c>
      <c r="D28" s="11" t="s">
        <v>34</v>
      </c>
      <c r="E28" s="12">
        <v>44970</v>
      </c>
      <c r="F28" s="10">
        <v>40</v>
      </c>
      <c r="G28" s="12">
        <f>IF(FEBRERO[[#This Row],[Dias a vencer]]="","",E28+F28)</f>
        <v>45010</v>
      </c>
      <c r="H28" s="10" t="str">
        <f t="shared" ca="1" si="0"/>
        <v>Vencido hace41 dias</v>
      </c>
      <c r="I28" s="10" t="s">
        <v>16</v>
      </c>
      <c r="J28" s="13">
        <v>17.5</v>
      </c>
      <c r="K28" s="10">
        <f t="shared" ca="1" si="1"/>
        <v>-41</v>
      </c>
      <c r="L28" s="10"/>
      <c r="M28" s="10"/>
    </row>
    <row r="29" spans="2:14" x14ac:dyDescent="0.3">
      <c r="B29" s="10">
        <f>ROW()-ROW(FEBRERO[[#Headers],[No]])</f>
        <v>24</v>
      </c>
      <c r="C29" s="10" t="s">
        <v>35</v>
      </c>
      <c r="D29" s="11" t="s">
        <v>36</v>
      </c>
      <c r="E29" s="12">
        <v>44970</v>
      </c>
      <c r="F29" s="10">
        <v>40</v>
      </c>
      <c r="G29" s="12">
        <f>IF(FEBRERO[[#This Row],[Dias a vencer]]="","",E29+F29)</f>
        <v>45010</v>
      </c>
      <c r="H29" s="10" t="str">
        <f t="shared" ca="1" si="0"/>
        <v>Vencido hace41 dias</v>
      </c>
      <c r="I29" s="10" t="s">
        <v>16</v>
      </c>
      <c r="J29" s="13">
        <v>17.5</v>
      </c>
      <c r="K29" s="10">
        <f t="shared" ca="1" si="1"/>
        <v>-41</v>
      </c>
      <c r="L29" s="10"/>
      <c r="M29" s="10"/>
    </row>
    <row r="30" spans="2:14" hidden="1" x14ac:dyDescent="0.3">
      <c r="B30" s="10">
        <f>ROW()-ROW(FEBRERO[[#Headers],[No]])</f>
        <v>25</v>
      </c>
      <c r="C30" s="10" t="s">
        <v>61</v>
      </c>
      <c r="D30" s="11" t="s">
        <v>62</v>
      </c>
      <c r="E30" s="12">
        <v>44991</v>
      </c>
      <c r="F30" s="10">
        <v>31</v>
      </c>
      <c r="G30" s="12">
        <f>IF(FEBRERO[[#This Row],[Dias a vencer]]="","",E30+F30)</f>
        <v>45022</v>
      </c>
      <c r="H30" s="10" t="str">
        <f t="shared" ca="1" si="0"/>
        <v>Vencido hace29 dias</v>
      </c>
      <c r="I30" s="10" t="s">
        <v>16</v>
      </c>
      <c r="J30" s="14">
        <v>17.5</v>
      </c>
      <c r="K30" s="10">
        <f t="shared" ca="1" si="1"/>
        <v>-29</v>
      </c>
      <c r="L30" s="10"/>
      <c r="M30" s="10"/>
    </row>
    <row r="31" spans="2:14" hidden="1" x14ac:dyDescent="0.3">
      <c r="B31" s="10">
        <f>ROW()-ROW(FEBRERO[[#Headers],[No]])</f>
        <v>26</v>
      </c>
      <c r="C31" s="10" t="s">
        <v>63</v>
      </c>
      <c r="D31" s="11" t="s">
        <v>64</v>
      </c>
      <c r="E31" s="12">
        <v>44991</v>
      </c>
      <c r="F31" s="10">
        <v>31</v>
      </c>
      <c r="G31" s="12">
        <f>IF(FEBRERO[[#This Row],[Dias a vencer]]="","",E31+F31)</f>
        <v>45022</v>
      </c>
      <c r="H31" s="10" t="str">
        <f t="shared" ca="1" si="0"/>
        <v>Vencido hace29 dias</v>
      </c>
      <c r="I31" s="10" t="s">
        <v>16</v>
      </c>
      <c r="J31" s="13">
        <v>17.5</v>
      </c>
      <c r="K31" s="10">
        <f t="shared" ca="1" si="1"/>
        <v>-29</v>
      </c>
      <c r="L31" s="10"/>
      <c r="M31" s="10"/>
    </row>
    <row r="32" spans="2:14" hidden="1" x14ac:dyDescent="0.3">
      <c r="B32" s="10">
        <f>ROW()-ROW(FEBRERO[[#Headers],[No]])</f>
        <v>27</v>
      </c>
      <c r="C32" s="10" t="s">
        <v>65</v>
      </c>
      <c r="D32" s="11" t="s">
        <v>66</v>
      </c>
      <c r="E32" s="12">
        <v>44991</v>
      </c>
      <c r="F32" s="10">
        <v>31</v>
      </c>
      <c r="G32" s="12">
        <f>IF(FEBRERO[[#This Row],[Dias a vencer]]="","",E32+F32)</f>
        <v>45022</v>
      </c>
      <c r="H32" s="10" t="str">
        <f t="shared" ca="1" si="0"/>
        <v>Vencido hace29 dias</v>
      </c>
      <c r="I32" s="10" t="s">
        <v>13</v>
      </c>
      <c r="J32" s="13">
        <v>20</v>
      </c>
      <c r="K32" s="10">
        <f t="shared" ca="1" si="1"/>
        <v>-29</v>
      </c>
      <c r="L32" s="10"/>
      <c r="M32" s="10"/>
    </row>
    <row r="33" spans="2:13" hidden="1" x14ac:dyDescent="0.3">
      <c r="B33" s="10">
        <f>ROW()-ROW(FEBRERO[[#Headers],[No]])</f>
        <v>28</v>
      </c>
      <c r="C33" s="10" t="s">
        <v>67</v>
      </c>
      <c r="D33" s="11" t="s">
        <v>68</v>
      </c>
      <c r="E33" s="12">
        <v>44991</v>
      </c>
      <c r="F33" s="10">
        <v>31</v>
      </c>
      <c r="G33" s="12">
        <f>IF(FEBRERO[[#This Row],[Dias a vencer]]="","",E33+F33)</f>
        <v>45022</v>
      </c>
      <c r="H33" s="10" t="str">
        <f t="shared" ca="1" si="0"/>
        <v>Vencido hace29 dias</v>
      </c>
      <c r="I33" s="10" t="s">
        <v>16</v>
      </c>
      <c r="J33" s="13">
        <v>20</v>
      </c>
      <c r="K33" s="10">
        <f t="shared" ca="1" si="1"/>
        <v>-29</v>
      </c>
      <c r="L33" s="10"/>
      <c r="M33" s="10"/>
    </row>
    <row r="34" spans="2:13" hidden="1" x14ac:dyDescent="0.3">
      <c r="B34" s="10">
        <f>ROW()-ROW(FEBRERO[[#Headers],[No]])</f>
        <v>29</v>
      </c>
      <c r="C34" s="10" t="s">
        <v>69</v>
      </c>
      <c r="D34" s="11" t="s">
        <v>70</v>
      </c>
      <c r="E34" s="12">
        <v>44992</v>
      </c>
      <c r="F34" s="10">
        <v>31</v>
      </c>
      <c r="G34" s="12">
        <f>IF(FEBRERO[[#This Row],[Dias a vencer]]="","",E34+F34)</f>
        <v>45023</v>
      </c>
      <c r="H34" s="10" t="str">
        <f t="shared" ca="1" si="0"/>
        <v>Vencido hace28 dias</v>
      </c>
      <c r="I34" s="10" t="s">
        <v>16</v>
      </c>
      <c r="J34" s="13">
        <v>20</v>
      </c>
      <c r="K34" s="10">
        <f t="shared" ca="1" si="1"/>
        <v>-28</v>
      </c>
      <c r="L34" s="10"/>
      <c r="M34" s="10"/>
    </row>
    <row r="35" spans="2:13" hidden="1" x14ac:dyDescent="0.3">
      <c r="B35" s="10">
        <f>ROW()-ROW(FEBRERO[[#Headers],[No]])</f>
        <v>30</v>
      </c>
      <c r="C35" s="10" t="s">
        <v>71</v>
      </c>
      <c r="D35" s="11" t="s">
        <v>72</v>
      </c>
      <c r="E35" s="12">
        <v>45017</v>
      </c>
      <c r="F35" s="10">
        <v>30</v>
      </c>
      <c r="G35" s="12">
        <f>IF(FEBRERO[[#This Row],[Dias a vencer]]="","",E35+F35)</f>
        <v>45047</v>
      </c>
      <c r="H35" s="10" t="str">
        <f t="shared" ca="1" si="0"/>
        <v>Vencido hace4 dias</v>
      </c>
      <c r="I35" s="10" t="s">
        <v>13</v>
      </c>
      <c r="J35" s="13">
        <v>17.5</v>
      </c>
      <c r="K35" s="10">
        <f t="shared" ca="1" si="1"/>
        <v>-4</v>
      </c>
      <c r="L35" s="10"/>
      <c r="M35" s="10"/>
    </row>
    <row r="36" spans="2:13" hidden="1" x14ac:dyDescent="0.3">
      <c r="B36" s="10">
        <f>ROW()-ROW(FEBRERO[[#Headers],[No]])</f>
        <v>31</v>
      </c>
      <c r="C36" s="10" t="s">
        <v>73</v>
      </c>
      <c r="D36" s="11" t="s">
        <v>74</v>
      </c>
      <c r="E36" s="12">
        <v>45017</v>
      </c>
      <c r="F36" s="10">
        <v>30</v>
      </c>
      <c r="G36" s="12">
        <f>IF(FEBRERO[[#This Row],[Dias a vencer]]="","",E36+F36)</f>
        <v>45047</v>
      </c>
      <c r="H36" s="10" t="str">
        <f t="shared" ca="1" si="0"/>
        <v>Vencido hace4 dias</v>
      </c>
      <c r="I36" s="10" t="s">
        <v>13</v>
      </c>
      <c r="J36" s="13">
        <v>17.5</v>
      </c>
      <c r="K36" s="10">
        <f t="shared" ca="1" si="1"/>
        <v>-4</v>
      </c>
      <c r="L36" s="10"/>
      <c r="M36" s="10"/>
    </row>
    <row r="37" spans="2:13" hidden="1" x14ac:dyDescent="0.3">
      <c r="B37" s="10">
        <f>ROW()-ROW(FEBRERO[[#Headers],[No]])</f>
        <v>32</v>
      </c>
      <c r="C37" s="10" t="s">
        <v>75</v>
      </c>
      <c r="D37" s="11" t="s">
        <v>76</v>
      </c>
      <c r="E37" s="12">
        <v>44993</v>
      </c>
      <c r="F37" s="10">
        <v>31</v>
      </c>
      <c r="G37" s="12">
        <f>IF(FEBRERO[[#This Row],[Dias a vencer]]="","",E37+F37)</f>
        <v>45024</v>
      </c>
      <c r="H37" s="10" t="str">
        <f t="shared" ca="1" si="0"/>
        <v>Vencido hace27 dias</v>
      </c>
      <c r="I37" s="10" t="s">
        <v>16</v>
      </c>
      <c r="J37" s="13">
        <v>17.5</v>
      </c>
      <c r="K37" s="10">
        <f t="shared" ca="1" si="1"/>
        <v>-27</v>
      </c>
      <c r="L37" s="10"/>
      <c r="M37" s="10"/>
    </row>
    <row r="38" spans="2:13" hidden="1" x14ac:dyDescent="0.3">
      <c r="B38" s="10">
        <f>ROW()-ROW(FEBRERO[[#Headers],[No]])</f>
        <v>33</v>
      </c>
      <c r="C38" s="10" t="s">
        <v>77</v>
      </c>
      <c r="D38" s="11" t="s">
        <v>78</v>
      </c>
      <c r="E38" s="12">
        <v>44993</v>
      </c>
      <c r="F38" s="10">
        <v>31</v>
      </c>
      <c r="G38" s="12">
        <f>IF(FEBRERO[[#This Row],[Dias a vencer]]="","",E38+F38)</f>
        <v>45024</v>
      </c>
      <c r="H38" s="10" t="str">
        <f t="shared" ref="H38:H69" ca="1" si="2">IF(K38&lt;0,"Vencido hace"&amp;K38*-1&amp;" dias",IF(K38=0,"Vence hoy",IF(K38&lt;4,"Tiene "&amp;K38&amp;" dias","Faltan "&amp;K38&amp;" dias")))</f>
        <v>Vencido hace27 dias</v>
      </c>
      <c r="I38" s="10" t="s">
        <v>16</v>
      </c>
      <c r="J38" s="13">
        <v>17.5</v>
      </c>
      <c r="K38" s="10">
        <f t="shared" ref="K38:K69" ca="1" si="3">G38-$B$4</f>
        <v>-27</v>
      </c>
      <c r="L38" s="10"/>
      <c r="M38" s="10"/>
    </row>
    <row r="39" spans="2:13" hidden="1" x14ac:dyDescent="0.3">
      <c r="B39" s="10">
        <f>ROW()-ROW(FEBRERO[[#Headers],[No]])</f>
        <v>34</v>
      </c>
      <c r="C39" s="10" t="s">
        <v>79</v>
      </c>
      <c r="D39" s="11" t="s">
        <v>80</v>
      </c>
      <c r="E39" s="12">
        <v>44998</v>
      </c>
      <c r="F39" s="10">
        <v>31</v>
      </c>
      <c r="G39" s="12">
        <f>IF(FEBRERO[[#This Row],[Dias a vencer]]="","",E39+F39)</f>
        <v>45029</v>
      </c>
      <c r="H39" s="10" t="str">
        <f t="shared" ca="1" si="2"/>
        <v>Vencido hace22 dias</v>
      </c>
      <c r="I39" s="10" t="s">
        <v>16</v>
      </c>
      <c r="J39" s="13">
        <v>17.5</v>
      </c>
      <c r="K39" s="10">
        <f t="shared" ca="1" si="3"/>
        <v>-22</v>
      </c>
      <c r="L39" s="10"/>
      <c r="M39" s="10"/>
    </row>
    <row r="40" spans="2:13" hidden="1" x14ac:dyDescent="0.3">
      <c r="B40" s="10">
        <f>ROW()-ROW(FEBRERO[[#Headers],[No]])</f>
        <v>35</v>
      </c>
      <c r="C40" s="10" t="s">
        <v>81</v>
      </c>
      <c r="D40" s="11" t="s">
        <v>82</v>
      </c>
      <c r="E40" s="12">
        <v>44998</v>
      </c>
      <c r="F40" s="10">
        <v>31</v>
      </c>
      <c r="G40" s="12">
        <f>IF(FEBRERO[[#This Row],[Dias a vencer]]="","",E40+F40)</f>
        <v>45029</v>
      </c>
      <c r="H40" s="10" t="str">
        <f t="shared" ca="1" si="2"/>
        <v>Vencido hace22 dias</v>
      </c>
      <c r="I40" s="10" t="s">
        <v>16</v>
      </c>
      <c r="J40" s="13">
        <v>17.5</v>
      </c>
      <c r="K40" s="10">
        <f t="shared" ca="1" si="3"/>
        <v>-22</v>
      </c>
      <c r="L40" s="10"/>
      <c r="M40" s="10"/>
    </row>
    <row r="41" spans="2:13" hidden="1" x14ac:dyDescent="0.3">
      <c r="B41" s="10">
        <f>ROW()-ROW(FEBRERO[[#Headers],[No]])</f>
        <v>36</v>
      </c>
      <c r="C41" s="10" t="s">
        <v>83</v>
      </c>
      <c r="D41" s="11" t="s">
        <v>84</v>
      </c>
      <c r="E41" s="12">
        <v>44998</v>
      </c>
      <c r="F41" s="10">
        <v>31</v>
      </c>
      <c r="G41" s="12">
        <f>IF(FEBRERO[[#This Row],[Dias a vencer]]="","",E41+F41)</f>
        <v>45029</v>
      </c>
      <c r="H41" s="10" t="str">
        <f t="shared" ca="1" si="2"/>
        <v>Vencido hace22 dias</v>
      </c>
      <c r="I41" s="10" t="s">
        <v>16</v>
      </c>
      <c r="J41" s="13">
        <v>17.5</v>
      </c>
      <c r="K41" s="10">
        <f t="shared" ca="1" si="3"/>
        <v>-22</v>
      </c>
      <c r="L41" s="10"/>
      <c r="M41" s="10"/>
    </row>
    <row r="42" spans="2:13" hidden="1" x14ac:dyDescent="0.3">
      <c r="B42" s="10">
        <f>ROW()-ROW(FEBRERO[[#Headers],[No]])</f>
        <v>37</v>
      </c>
      <c r="C42" s="10" t="s">
        <v>85</v>
      </c>
      <c r="D42" s="11" t="s">
        <v>86</v>
      </c>
      <c r="E42" s="12">
        <v>44999</v>
      </c>
      <c r="F42" s="10">
        <v>31</v>
      </c>
      <c r="G42" s="12">
        <f>IF(FEBRERO[[#This Row],[Dias a vencer]]="","",E42+F42)</f>
        <v>45030</v>
      </c>
      <c r="H42" s="10" t="str">
        <f t="shared" ca="1" si="2"/>
        <v>Vencido hace21 dias</v>
      </c>
      <c r="I42" s="10" t="s">
        <v>16</v>
      </c>
      <c r="J42" s="13">
        <v>20</v>
      </c>
      <c r="K42" s="10">
        <f t="shared" ca="1" si="3"/>
        <v>-21</v>
      </c>
      <c r="L42" s="10"/>
      <c r="M42" s="10"/>
    </row>
    <row r="43" spans="2:13" hidden="1" x14ac:dyDescent="0.3">
      <c r="B43" s="10">
        <f>ROW()-ROW(FEBRERO[[#Headers],[No]])</f>
        <v>38</v>
      </c>
      <c r="C43" s="10" t="s">
        <v>87</v>
      </c>
      <c r="D43" s="11" t="s">
        <v>88</v>
      </c>
      <c r="E43" s="12">
        <v>45000</v>
      </c>
      <c r="F43" s="10">
        <v>31</v>
      </c>
      <c r="G43" s="12">
        <f>IF(FEBRERO[[#This Row],[Dias a vencer]]="","",E43+F43)</f>
        <v>45031</v>
      </c>
      <c r="H43" s="10" t="str">
        <f t="shared" ca="1" si="2"/>
        <v>Vencido hace20 dias</v>
      </c>
      <c r="I43" s="10" t="s">
        <v>13</v>
      </c>
      <c r="J43" s="13">
        <v>17.5</v>
      </c>
      <c r="K43" s="10">
        <f t="shared" ca="1" si="3"/>
        <v>-20</v>
      </c>
      <c r="L43" s="10"/>
      <c r="M43" s="10"/>
    </row>
    <row r="44" spans="2:13" hidden="1" x14ac:dyDescent="0.3">
      <c r="B44" s="10">
        <f>ROW()-ROW(FEBRERO[[#Headers],[No]])</f>
        <v>39</v>
      </c>
      <c r="C44" s="10" t="s">
        <v>89</v>
      </c>
      <c r="D44" s="11"/>
      <c r="E44" s="12">
        <v>45000</v>
      </c>
      <c r="F44" s="10">
        <v>31</v>
      </c>
      <c r="G44" s="12">
        <f>IF(FEBRERO[[#This Row],[Dias a vencer]]="","",E44+F44)</f>
        <v>45031</v>
      </c>
      <c r="H44" s="10" t="str">
        <f t="shared" ca="1" si="2"/>
        <v>Vencido hace20 dias</v>
      </c>
      <c r="I44" s="10" t="s">
        <v>13</v>
      </c>
      <c r="J44" s="13">
        <v>17.5</v>
      </c>
      <c r="K44" s="10">
        <f t="shared" ca="1" si="3"/>
        <v>-20</v>
      </c>
      <c r="L44" s="10"/>
      <c r="M44" s="10"/>
    </row>
    <row r="45" spans="2:13" hidden="1" x14ac:dyDescent="0.3">
      <c r="B45" s="10">
        <f>ROW()-ROW(FEBRERO[[#Headers],[No]])</f>
        <v>40</v>
      </c>
      <c r="C45" s="10" t="s">
        <v>90</v>
      </c>
      <c r="D45" s="11" t="s">
        <v>91</v>
      </c>
      <c r="E45" s="12">
        <v>45001</v>
      </c>
      <c r="F45" s="10">
        <v>31</v>
      </c>
      <c r="G45" s="12">
        <f>IF(FEBRERO[[#This Row],[Dias a vencer]]="","",E45+F45)</f>
        <v>45032</v>
      </c>
      <c r="H45" s="10" t="str">
        <f t="shared" ca="1" si="2"/>
        <v>Vencido hace19 dias</v>
      </c>
      <c r="I45" s="10" t="s">
        <v>16</v>
      </c>
      <c r="J45" s="13">
        <v>20</v>
      </c>
      <c r="K45" s="10">
        <f t="shared" ca="1" si="3"/>
        <v>-19</v>
      </c>
      <c r="L45" s="10"/>
      <c r="M45" s="10"/>
    </row>
    <row r="46" spans="2:13" hidden="1" x14ac:dyDescent="0.3">
      <c r="B46" s="10">
        <f>ROW()-ROW(FEBRERO[[#Headers],[No]])</f>
        <v>41</v>
      </c>
      <c r="C46" s="10" t="s">
        <v>92</v>
      </c>
      <c r="D46" s="11"/>
      <c r="E46" s="12">
        <v>45001</v>
      </c>
      <c r="F46" s="10">
        <v>31</v>
      </c>
      <c r="G46" s="12">
        <f>IF(FEBRERO[[#This Row],[Dias a vencer]]="","",E46+F46)</f>
        <v>45032</v>
      </c>
      <c r="H46" s="10" t="str">
        <f t="shared" ca="1" si="2"/>
        <v>Vencido hace19 dias</v>
      </c>
      <c r="I46" s="10" t="s">
        <v>13</v>
      </c>
      <c r="J46" s="13">
        <v>17.5</v>
      </c>
      <c r="K46" s="10">
        <f t="shared" ca="1" si="3"/>
        <v>-19</v>
      </c>
      <c r="L46" s="10"/>
      <c r="M46" s="10"/>
    </row>
    <row r="47" spans="2:13" hidden="1" x14ac:dyDescent="0.3">
      <c r="B47" s="10">
        <f>ROW()-ROW(FEBRERO[[#Headers],[No]])</f>
        <v>42</v>
      </c>
      <c r="C47" s="10" t="s">
        <v>93</v>
      </c>
      <c r="D47" s="11"/>
      <c r="E47" s="12">
        <v>45001</v>
      </c>
      <c r="F47" s="10">
        <v>31</v>
      </c>
      <c r="G47" s="12">
        <f>IF(FEBRERO[[#This Row],[Dias a vencer]]="","",E47+F47)</f>
        <v>45032</v>
      </c>
      <c r="H47" s="10" t="str">
        <f t="shared" ca="1" si="2"/>
        <v>Vencido hace19 dias</v>
      </c>
      <c r="I47" s="10" t="s">
        <v>13</v>
      </c>
      <c r="J47" s="13">
        <v>17.5</v>
      </c>
      <c r="K47" s="10">
        <f t="shared" ca="1" si="3"/>
        <v>-19</v>
      </c>
      <c r="L47" s="10"/>
      <c r="M47" s="10"/>
    </row>
    <row r="48" spans="2:13" hidden="1" x14ac:dyDescent="0.3">
      <c r="B48" s="10">
        <f>ROW()-ROW(FEBRERO[[#Headers],[No]])</f>
        <v>43</v>
      </c>
      <c r="C48" s="10" t="s">
        <v>94</v>
      </c>
      <c r="D48" s="11"/>
      <c r="E48" s="12">
        <v>45007</v>
      </c>
      <c r="F48" s="10">
        <v>31</v>
      </c>
      <c r="G48" s="12">
        <f>IF(FEBRERO[[#This Row],[Dias a vencer]]="","",E48+F48)</f>
        <v>45038</v>
      </c>
      <c r="H48" s="10" t="str">
        <f t="shared" ca="1" si="2"/>
        <v>Vencido hace13 dias</v>
      </c>
      <c r="I48" s="10" t="s">
        <v>16</v>
      </c>
      <c r="J48" s="13">
        <v>20</v>
      </c>
      <c r="K48" s="10">
        <f t="shared" ca="1" si="3"/>
        <v>-13</v>
      </c>
      <c r="L48" s="10"/>
      <c r="M48" s="10"/>
    </row>
    <row r="49" spans="2:13" hidden="1" x14ac:dyDescent="0.3">
      <c r="B49" s="10">
        <f>ROW()-ROW(FEBRERO[[#Headers],[No]])</f>
        <v>44</v>
      </c>
      <c r="C49" s="10" t="s">
        <v>95</v>
      </c>
      <c r="D49" s="11" t="s">
        <v>96</v>
      </c>
      <c r="E49" s="12">
        <v>45008</v>
      </c>
      <c r="F49" s="10">
        <v>31</v>
      </c>
      <c r="G49" s="12">
        <f>IF(FEBRERO[[#This Row],[Dias a vencer]]="","",E49+F49)</f>
        <v>45039</v>
      </c>
      <c r="H49" s="10" t="str">
        <f t="shared" ca="1" si="2"/>
        <v>Vencido hace12 dias</v>
      </c>
      <c r="I49" s="10" t="s">
        <v>13</v>
      </c>
      <c r="J49" s="13">
        <v>20</v>
      </c>
      <c r="K49" s="10">
        <f t="shared" ca="1" si="3"/>
        <v>-12</v>
      </c>
      <c r="L49" s="10"/>
      <c r="M49" s="10"/>
    </row>
    <row r="50" spans="2:13" hidden="1" x14ac:dyDescent="0.3">
      <c r="B50" s="10">
        <f>ROW()-ROW(FEBRERO[[#Headers],[No]])</f>
        <v>45</v>
      </c>
      <c r="C50" s="10" t="s">
        <v>97</v>
      </c>
      <c r="D50" s="11" t="s">
        <v>98</v>
      </c>
      <c r="E50" s="12">
        <v>45009</v>
      </c>
      <c r="F50" s="10">
        <v>31</v>
      </c>
      <c r="G50" s="12">
        <f>IF(FEBRERO[[#This Row],[Dias a vencer]]="","",E50+F50)</f>
        <v>45040</v>
      </c>
      <c r="H50" s="10" t="str">
        <f t="shared" ca="1" si="2"/>
        <v>Vencido hace11 dias</v>
      </c>
      <c r="I50" s="10" t="s">
        <v>13</v>
      </c>
      <c r="J50" s="13">
        <v>17.5</v>
      </c>
      <c r="K50" s="10">
        <f t="shared" ca="1" si="3"/>
        <v>-11</v>
      </c>
      <c r="L50" s="10"/>
      <c r="M50" s="10"/>
    </row>
    <row r="51" spans="2:13" hidden="1" x14ac:dyDescent="0.3">
      <c r="B51" s="10">
        <f>ROW()-ROW(FEBRERO[[#Headers],[No]])</f>
        <v>46</v>
      </c>
      <c r="C51" s="10" t="s">
        <v>99</v>
      </c>
      <c r="D51" s="11" t="s">
        <v>98</v>
      </c>
      <c r="E51" s="12">
        <v>45009</v>
      </c>
      <c r="F51" s="10">
        <v>31</v>
      </c>
      <c r="G51" s="12">
        <f>IF(FEBRERO[[#This Row],[Dias a vencer]]="","",E51+F51)</f>
        <v>45040</v>
      </c>
      <c r="H51" s="10" t="str">
        <f t="shared" ca="1" si="2"/>
        <v>Vencido hace11 dias</v>
      </c>
      <c r="I51" s="10" t="s">
        <v>13</v>
      </c>
      <c r="J51" s="13">
        <v>17.5</v>
      </c>
      <c r="K51" s="10">
        <f t="shared" ca="1" si="3"/>
        <v>-11</v>
      </c>
      <c r="L51" s="10"/>
      <c r="M51" s="10"/>
    </row>
    <row r="52" spans="2:13" hidden="1" x14ac:dyDescent="0.3">
      <c r="B52" s="10">
        <f>ROW()-ROW(FEBRERO[[#Headers],[No]])</f>
        <v>47</v>
      </c>
      <c r="C52" s="10" t="s">
        <v>100</v>
      </c>
      <c r="D52" s="11" t="s">
        <v>101</v>
      </c>
      <c r="E52" s="12">
        <v>44998</v>
      </c>
      <c r="F52" s="10">
        <v>31</v>
      </c>
      <c r="G52" s="12">
        <f>IF(FEBRERO[[#This Row],[Dias a vencer]]="","",E52+F52)</f>
        <v>45029</v>
      </c>
      <c r="H52" s="10" t="str">
        <f t="shared" ca="1" si="2"/>
        <v>Vencido hace22 dias</v>
      </c>
      <c r="I52" s="10"/>
      <c r="J52" s="13">
        <v>17.5</v>
      </c>
      <c r="K52" s="10">
        <f t="shared" ca="1" si="3"/>
        <v>-22</v>
      </c>
      <c r="L52" s="10"/>
      <c r="M52" s="10"/>
    </row>
    <row r="53" spans="2:13" hidden="1" x14ac:dyDescent="0.3">
      <c r="B53" s="10">
        <f>ROW()-ROW(FEBRERO[[#Headers],[No]])</f>
        <v>48</v>
      </c>
      <c r="C53" s="10" t="s">
        <v>102</v>
      </c>
      <c r="D53" s="11"/>
      <c r="E53" s="12">
        <v>44991</v>
      </c>
      <c r="F53" s="10">
        <v>31</v>
      </c>
      <c r="G53" s="12">
        <f>IF(FEBRERO[[#This Row],[Dias a vencer]]="","",E53+F53)</f>
        <v>45022</v>
      </c>
      <c r="H53" s="10" t="str">
        <f t="shared" ca="1" si="2"/>
        <v>Vencido hace29 dias</v>
      </c>
      <c r="I53" s="10"/>
      <c r="J53" s="13">
        <v>17.5</v>
      </c>
      <c r="K53" s="10">
        <f t="shared" ca="1" si="3"/>
        <v>-29</v>
      </c>
      <c r="L53" s="10"/>
      <c r="M53" s="10"/>
    </row>
    <row r="54" spans="2:13" hidden="1" x14ac:dyDescent="0.3">
      <c r="B54" s="10">
        <f>ROW()-ROW(FEBRERO[[#Headers],[No]])</f>
        <v>49</v>
      </c>
      <c r="C54" s="10" t="s">
        <v>103</v>
      </c>
      <c r="D54" s="11"/>
      <c r="E54" s="12">
        <v>44991</v>
      </c>
      <c r="F54" s="10">
        <v>31</v>
      </c>
      <c r="G54" s="12">
        <f>IF(FEBRERO[[#This Row],[Dias a vencer]]="","",E54+F54)</f>
        <v>45022</v>
      </c>
      <c r="H54" s="10" t="str">
        <f t="shared" ca="1" si="2"/>
        <v>Vencido hace29 dias</v>
      </c>
      <c r="I54" s="10"/>
      <c r="J54" s="13">
        <v>17.5</v>
      </c>
      <c r="K54" s="10">
        <f t="shared" ca="1" si="3"/>
        <v>-29</v>
      </c>
      <c r="L54" s="10"/>
      <c r="M54" s="10"/>
    </row>
    <row r="55" spans="2:13" x14ac:dyDescent="0.3">
      <c r="B55" s="10">
        <f>ROW()-ROW(FEBRERO[[#Headers],[No]])</f>
        <v>50</v>
      </c>
      <c r="C55" s="10" t="s">
        <v>37</v>
      </c>
      <c r="D55" s="11" t="s">
        <v>38</v>
      </c>
      <c r="E55" s="12">
        <v>44970</v>
      </c>
      <c r="F55" s="10">
        <v>40</v>
      </c>
      <c r="G55" s="12">
        <f>IF(FEBRERO[[#This Row],[Dias a vencer]]="","",E55+F55)</f>
        <v>45010</v>
      </c>
      <c r="H55" s="10" t="str">
        <f t="shared" ca="1" si="2"/>
        <v>Vencido hace41 dias</v>
      </c>
      <c r="I55" s="10" t="s">
        <v>16</v>
      </c>
      <c r="J55" s="13">
        <v>20</v>
      </c>
      <c r="K55" s="10">
        <f t="shared" ca="1" si="3"/>
        <v>-41</v>
      </c>
      <c r="L55" s="10"/>
      <c r="M55" s="10"/>
    </row>
    <row r="56" spans="2:13" x14ac:dyDescent="0.3">
      <c r="B56" s="10">
        <f>ROW()-ROW(FEBRERO[[#Headers],[No]])</f>
        <v>51</v>
      </c>
      <c r="C56" s="10" t="s">
        <v>39</v>
      </c>
      <c r="D56" s="11" t="s">
        <v>40</v>
      </c>
      <c r="E56" s="12">
        <v>44971</v>
      </c>
      <c r="F56" s="10">
        <v>40</v>
      </c>
      <c r="G56" s="12">
        <f>IF(FEBRERO[[#This Row],[Dias a vencer]]="","",E56+F56)</f>
        <v>45011</v>
      </c>
      <c r="H56" s="10" t="str">
        <f t="shared" ca="1" si="2"/>
        <v>Vencido hace40 dias</v>
      </c>
      <c r="I56" s="10" t="s">
        <v>13</v>
      </c>
      <c r="J56" s="13">
        <v>17.5</v>
      </c>
      <c r="K56" s="10">
        <f t="shared" ca="1" si="3"/>
        <v>-40</v>
      </c>
      <c r="L56" s="10"/>
      <c r="M56" s="10"/>
    </row>
    <row r="57" spans="2:13" x14ac:dyDescent="0.3">
      <c r="B57" s="10">
        <f>ROW()-ROW(FEBRERO[[#Headers],[No]])</f>
        <v>52</v>
      </c>
      <c r="C57" s="10" t="s">
        <v>41</v>
      </c>
      <c r="D57" s="11" t="s">
        <v>42</v>
      </c>
      <c r="E57" s="12">
        <v>44971</v>
      </c>
      <c r="F57" s="10">
        <v>40</v>
      </c>
      <c r="G57" s="12">
        <f>IF(FEBRERO[[#This Row],[Dias a vencer]]="","",E57+F57)</f>
        <v>45011</v>
      </c>
      <c r="H57" s="10" t="str">
        <f t="shared" ca="1" si="2"/>
        <v>Vencido hace40 dias</v>
      </c>
      <c r="I57" s="10" t="s">
        <v>13</v>
      </c>
      <c r="J57" s="13">
        <v>17.5</v>
      </c>
      <c r="K57" s="10">
        <f t="shared" ca="1" si="3"/>
        <v>-40</v>
      </c>
      <c r="L57" s="10"/>
      <c r="M57" s="10"/>
    </row>
    <row r="58" spans="2:13" x14ac:dyDescent="0.3">
      <c r="B58" s="10">
        <f>ROW()-ROW(FEBRERO[[#Headers],[No]])</f>
        <v>53</v>
      </c>
      <c r="C58" s="10" t="s">
        <v>43</v>
      </c>
      <c r="D58" s="11" t="s">
        <v>44</v>
      </c>
      <c r="E58" s="12">
        <v>44972</v>
      </c>
      <c r="F58" s="10">
        <v>40</v>
      </c>
      <c r="G58" s="12">
        <f>IF(FEBRERO[[#This Row],[Dias a vencer]]="","",E58+F58)</f>
        <v>45012</v>
      </c>
      <c r="H58" s="10" t="str">
        <f t="shared" ca="1" si="2"/>
        <v>Vencido hace39 dias</v>
      </c>
      <c r="I58" s="10" t="s">
        <v>13</v>
      </c>
      <c r="J58" s="14">
        <v>17.5</v>
      </c>
      <c r="K58" s="10">
        <f t="shared" ca="1" si="3"/>
        <v>-39</v>
      </c>
      <c r="L58" s="10"/>
      <c r="M58" s="10"/>
    </row>
    <row r="59" spans="2:13" x14ac:dyDescent="0.3">
      <c r="B59" s="10">
        <f>ROW()-ROW(FEBRERO[[#Headers],[No]])</f>
        <v>54</v>
      </c>
      <c r="C59" s="10" t="s">
        <v>45</v>
      </c>
      <c r="D59" s="11" t="s">
        <v>46</v>
      </c>
      <c r="E59" s="12">
        <v>44972</v>
      </c>
      <c r="F59" s="10">
        <v>40</v>
      </c>
      <c r="G59" s="12">
        <f>IF(FEBRERO[[#This Row],[Dias a vencer]]="","",E59+F59)</f>
        <v>45012</v>
      </c>
      <c r="H59" s="10" t="str">
        <f t="shared" ca="1" si="2"/>
        <v>Vencido hace39 dias</v>
      </c>
      <c r="I59" s="10" t="s">
        <v>13</v>
      </c>
      <c r="J59" s="14">
        <v>17.5</v>
      </c>
      <c r="K59" s="10">
        <f t="shared" ca="1" si="3"/>
        <v>-39</v>
      </c>
      <c r="L59" s="10"/>
      <c r="M59" s="10"/>
    </row>
    <row r="60" spans="2:13" x14ac:dyDescent="0.3">
      <c r="B60" s="10">
        <f>ROW()-ROW(FEBRERO[[#Headers],[No]])</f>
        <v>55</v>
      </c>
      <c r="C60" s="10" t="s">
        <v>47</v>
      </c>
      <c r="D60" s="11" t="s">
        <v>48</v>
      </c>
      <c r="E60" s="12">
        <v>44973</v>
      </c>
      <c r="F60" s="10">
        <v>40</v>
      </c>
      <c r="G60" s="12">
        <f>IF(FEBRERO[[#This Row],[Dias a vencer]]="","",E60+F60)</f>
        <v>45013</v>
      </c>
      <c r="H60" s="10" t="str">
        <f t="shared" ca="1" si="2"/>
        <v>Vencido hace38 dias</v>
      </c>
      <c r="I60" s="10" t="s">
        <v>16</v>
      </c>
      <c r="J60" s="13">
        <v>20</v>
      </c>
      <c r="K60" s="10">
        <f t="shared" ca="1" si="3"/>
        <v>-38</v>
      </c>
      <c r="L60" s="10"/>
      <c r="M60" s="10"/>
    </row>
    <row r="61" spans="2:13" x14ac:dyDescent="0.3">
      <c r="B61" s="10">
        <f>ROW()-ROW(FEBRERO[[#Headers],[No]])</f>
        <v>56</v>
      </c>
      <c r="C61" s="10" t="s">
        <v>49</v>
      </c>
      <c r="D61" s="11" t="s">
        <v>50</v>
      </c>
      <c r="E61" s="12">
        <v>44979</v>
      </c>
      <c r="F61" s="10">
        <v>40</v>
      </c>
      <c r="G61" s="12">
        <f>IF(FEBRERO[[#This Row],[Dias a vencer]]="","",E61+F61)</f>
        <v>45019</v>
      </c>
      <c r="H61" s="10" t="str">
        <f t="shared" ca="1" si="2"/>
        <v>Vencido hace32 dias</v>
      </c>
      <c r="I61" s="10" t="s">
        <v>13</v>
      </c>
      <c r="J61" s="14">
        <v>20</v>
      </c>
      <c r="K61" s="10">
        <f t="shared" ca="1" si="3"/>
        <v>-32</v>
      </c>
      <c r="L61" s="10"/>
      <c r="M61" s="10" t="s">
        <v>17</v>
      </c>
    </row>
    <row r="62" spans="2:13" x14ac:dyDescent="0.3">
      <c r="B62" s="10">
        <f>ROW()-ROW(FEBRERO[[#Headers],[No]])</f>
        <v>57</v>
      </c>
      <c r="C62" s="10" t="s">
        <v>51</v>
      </c>
      <c r="D62" s="11" t="s">
        <v>52</v>
      </c>
      <c r="E62" s="12">
        <v>44979</v>
      </c>
      <c r="F62" s="10">
        <v>40</v>
      </c>
      <c r="G62" s="12">
        <f>IF(FEBRERO[[#This Row],[Dias a vencer]]="","",E62+F62)</f>
        <v>45019</v>
      </c>
      <c r="H62" s="10" t="str">
        <f t="shared" ca="1" si="2"/>
        <v>Vencido hace32 dias</v>
      </c>
      <c r="I62" s="10" t="s">
        <v>13</v>
      </c>
      <c r="J62" s="14">
        <v>17.5</v>
      </c>
      <c r="K62" s="10">
        <f t="shared" ca="1" si="3"/>
        <v>-32</v>
      </c>
      <c r="L62" s="10"/>
      <c r="M62" s="10"/>
    </row>
    <row r="63" spans="2:13" x14ac:dyDescent="0.3">
      <c r="B63" s="10">
        <f>ROW()-ROW(FEBRERO[[#Headers],[No]])</f>
        <v>58</v>
      </c>
      <c r="C63" s="10" t="s">
        <v>53</v>
      </c>
      <c r="D63" s="11" t="s">
        <v>54</v>
      </c>
      <c r="E63" s="12">
        <v>44979</v>
      </c>
      <c r="F63" s="10">
        <v>40</v>
      </c>
      <c r="G63" s="12">
        <f>IF(FEBRERO[[#This Row],[Dias a vencer]]="","",E63+F63)</f>
        <v>45019</v>
      </c>
      <c r="H63" s="10" t="str">
        <f t="shared" ca="1" si="2"/>
        <v>Vencido hace32 dias</v>
      </c>
      <c r="I63" s="10" t="s">
        <v>13</v>
      </c>
      <c r="J63" s="14">
        <v>17.5</v>
      </c>
      <c r="K63" s="10">
        <f t="shared" ca="1" si="3"/>
        <v>-32</v>
      </c>
      <c r="L63" s="10"/>
      <c r="M63" s="10"/>
    </row>
    <row r="64" spans="2:13" x14ac:dyDescent="0.3">
      <c r="B64" s="10">
        <f>ROW()-ROW(FEBRERO[[#Headers],[No]])</f>
        <v>59</v>
      </c>
      <c r="C64" s="10" t="s">
        <v>55</v>
      </c>
      <c r="D64" s="11" t="s">
        <v>56</v>
      </c>
      <c r="E64" s="12">
        <v>44981</v>
      </c>
      <c r="F64" s="10">
        <v>40</v>
      </c>
      <c r="G64" s="12">
        <f>IF(FEBRERO[[#This Row],[Dias a vencer]]="","",E64+F64)</f>
        <v>45021</v>
      </c>
      <c r="H64" s="10" t="str">
        <f t="shared" ca="1" si="2"/>
        <v>Vencido hace30 dias</v>
      </c>
      <c r="I64" s="10" t="s">
        <v>16</v>
      </c>
      <c r="J64" s="13">
        <v>17.5</v>
      </c>
      <c r="K64" s="10">
        <f t="shared" ca="1" si="3"/>
        <v>-30</v>
      </c>
      <c r="L64" s="10"/>
      <c r="M64" s="10"/>
    </row>
    <row r="65" spans="2:13" x14ac:dyDescent="0.3">
      <c r="B65" s="10">
        <f>ROW()-ROW(FEBRERO[[#Headers],[No]])</f>
        <v>60</v>
      </c>
      <c r="C65" s="10" t="s">
        <v>57</v>
      </c>
      <c r="D65" s="11" t="s">
        <v>58</v>
      </c>
      <c r="E65" s="12">
        <v>44982</v>
      </c>
      <c r="F65" s="10">
        <v>40</v>
      </c>
      <c r="G65" s="12">
        <f>IF(FEBRERO[[#This Row],[Dias a vencer]]="","",E65+F65)</f>
        <v>45022</v>
      </c>
      <c r="H65" s="10" t="str">
        <f t="shared" ca="1" si="2"/>
        <v>Vencido hace29 dias</v>
      </c>
      <c r="I65" s="10" t="s">
        <v>16</v>
      </c>
      <c r="J65" s="14">
        <v>20</v>
      </c>
      <c r="K65" s="10">
        <f t="shared" ca="1" si="3"/>
        <v>-29</v>
      </c>
      <c r="L65" s="10"/>
      <c r="M65" s="10" t="s">
        <v>17</v>
      </c>
    </row>
    <row r="66" spans="2:13" x14ac:dyDescent="0.3">
      <c r="B66" s="10">
        <f>ROW()-ROW(FEBRERO[[#Headers],[No]])</f>
        <v>61</v>
      </c>
      <c r="C66" s="10" t="s">
        <v>59</v>
      </c>
      <c r="D66" s="11" t="s">
        <v>60</v>
      </c>
      <c r="E66" s="12">
        <v>44982</v>
      </c>
      <c r="F66" s="10">
        <v>40</v>
      </c>
      <c r="G66" s="12">
        <f>IF(FEBRERO[[#This Row],[Dias a vencer]]="","",E66+F66)</f>
        <v>45022</v>
      </c>
      <c r="H66" s="10" t="str">
        <f t="shared" ca="1" si="2"/>
        <v>Vencido hace29 dias</v>
      </c>
      <c r="I66" s="10" t="s">
        <v>16</v>
      </c>
      <c r="J66" s="14">
        <v>20</v>
      </c>
      <c r="K66" s="10">
        <f t="shared" ca="1" si="3"/>
        <v>-29</v>
      </c>
      <c r="L66" s="10"/>
      <c r="M66" s="10"/>
    </row>
    <row r="67" spans="2:13" x14ac:dyDescent="0.3">
      <c r="B67" s="10">
        <f>ROW()-ROW(FEBRERO[[#Headers],[No]])</f>
        <v>62</v>
      </c>
      <c r="C67" s="10" t="s">
        <v>61</v>
      </c>
      <c r="D67" s="11" t="s">
        <v>62</v>
      </c>
      <c r="E67" s="12">
        <v>44991</v>
      </c>
      <c r="F67" s="10">
        <v>31</v>
      </c>
      <c r="G67" s="12">
        <f>IF(FEBRERO[[#This Row],[Dias a vencer]]="","",E67+F67)</f>
        <v>45022</v>
      </c>
      <c r="H67" s="10" t="str">
        <f t="shared" ca="1" si="2"/>
        <v>Vencido hace29 dias</v>
      </c>
      <c r="I67" s="10" t="s">
        <v>16</v>
      </c>
      <c r="J67" s="14">
        <v>17.5</v>
      </c>
      <c r="K67" s="10">
        <f t="shared" ca="1" si="3"/>
        <v>-29</v>
      </c>
      <c r="L67" s="10"/>
      <c r="M67" s="10" t="s">
        <v>17</v>
      </c>
    </row>
    <row r="68" spans="2:13" x14ac:dyDescent="0.3">
      <c r="B68" s="10">
        <f>ROW()-ROW(FEBRERO[[#Headers],[No]])</f>
        <v>63</v>
      </c>
      <c r="C68" s="10" t="s">
        <v>63</v>
      </c>
      <c r="D68" s="11" t="s">
        <v>64</v>
      </c>
      <c r="E68" s="12">
        <v>44991</v>
      </c>
      <c r="F68" s="10">
        <v>31</v>
      </c>
      <c r="G68" s="12">
        <f>IF(FEBRERO[[#This Row],[Dias a vencer]]="","",E68+F68)</f>
        <v>45022</v>
      </c>
      <c r="H68" s="10" t="str">
        <f t="shared" ca="1" si="2"/>
        <v>Vencido hace29 dias</v>
      </c>
      <c r="I68" s="10" t="s">
        <v>16</v>
      </c>
      <c r="J68" s="13">
        <v>17.5</v>
      </c>
      <c r="K68" s="10">
        <f t="shared" ca="1" si="3"/>
        <v>-29</v>
      </c>
      <c r="L68" s="10"/>
      <c r="M68" s="10" t="s">
        <v>17</v>
      </c>
    </row>
    <row r="69" spans="2:13" x14ac:dyDescent="0.3">
      <c r="B69" s="10">
        <f>ROW()-ROW(FEBRERO[[#Headers],[No]])</f>
        <v>64</v>
      </c>
      <c r="C69" s="10" t="s">
        <v>65</v>
      </c>
      <c r="D69" s="11" t="s">
        <v>66</v>
      </c>
      <c r="E69" s="12">
        <v>44991</v>
      </c>
      <c r="F69" s="10">
        <v>31</v>
      </c>
      <c r="G69" s="12">
        <f>IF(FEBRERO[[#This Row],[Dias a vencer]]="","",E69+F69)</f>
        <v>45022</v>
      </c>
      <c r="H69" s="10" t="str">
        <f t="shared" ca="1" si="2"/>
        <v>Vencido hace29 dias</v>
      </c>
      <c r="I69" s="10" t="s">
        <v>13</v>
      </c>
      <c r="J69" s="13">
        <v>20</v>
      </c>
      <c r="K69" s="10">
        <f t="shared" ca="1" si="3"/>
        <v>-29</v>
      </c>
      <c r="L69" s="10"/>
      <c r="M69" s="10"/>
    </row>
    <row r="70" spans="2:13" x14ac:dyDescent="0.3">
      <c r="B70" s="10">
        <f>ROW()-ROW(FEBRERO[[#Headers],[No]])</f>
        <v>65</v>
      </c>
      <c r="C70" s="10" t="s">
        <v>67</v>
      </c>
      <c r="D70" s="11" t="s">
        <v>68</v>
      </c>
      <c r="E70" s="12">
        <v>44991</v>
      </c>
      <c r="F70" s="10">
        <v>31</v>
      </c>
      <c r="G70" s="12">
        <f>IF(FEBRERO[[#This Row],[Dias a vencer]]="","",E70+F70)</f>
        <v>45022</v>
      </c>
      <c r="H70" s="10" t="str">
        <f t="shared" ref="H70:H101" ca="1" si="4">IF(K70&lt;0,"Vencido hace"&amp;K70*-1&amp;" dias",IF(K70=0,"Vence hoy",IF(K70&lt;4,"Tiene "&amp;K70&amp;" dias","Faltan "&amp;K70&amp;" dias")))</f>
        <v>Vencido hace29 dias</v>
      </c>
      <c r="I70" s="10" t="s">
        <v>16</v>
      </c>
      <c r="J70" s="13">
        <v>20</v>
      </c>
      <c r="K70" s="10">
        <f t="shared" ref="K70:K101" ca="1" si="5">G70-$B$4</f>
        <v>-29</v>
      </c>
      <c r="L70" s="10"/>
      <c r="M70" s="10"/>
    </row>
    <row r="71" spans="2:13" x14ac:dyDescent="0.3">
      <c r="B71" s="10">
        <f>ROW()-ROW(FEBRERO[[#Headers],[No]])</f>
        <v>66</v>
      </c>
      <c r="C71" s="10" t="s">
        <v>148</v>
      </c>
      <c r="D71" s="11" t="s">
        <v>104</v>
      </c>
      <c r="E71" s="12">
        <v>44991</v>
      </c>
      <c r="F71" s="10">
        <v>31</v>
      </c>
      <c r="G71" s="12">
        <f>IF(FEBRERO[[#This Row],[Dias a vencer]]="","",E71+F71)</f>
        <v>45022</v>
      </c>
      <c r="H71" s="10" t="str">
        <f t="shared" ca="1" si="4"/>
        <v>Vencido hace29 dias</v>
      </c>
      <c r="I71" s="10" t="s">
        <v>16</v>
      </c>
      <c r="J71" s="13">
        <v>17.5</v>
      </c>
      <c r="K71" s="10">
        <f t="shared" ca="1" si="5"/>
        <v>-29</v>
      </c>
      <c r="L71" s="10"/>
      <c r="M71" s="10" t="s">
        <v>17</v>
      </c>
    </row>
    <row r="72" spans="2:13" x14ac:dyDescent="0.3">
      <c r="B72" s="10">
        <f>ROW()-ROW(FEBRERO[[#Headers],[No]])</f>
        <v>67</v>
      </c>
      <c r="C72" s="10" t="s">
        <v>149</v>
      </c>
      <c r="D72" s="11"/>
      <c r="E72" s="12">
        <v>44991</v>
      </c>
      <c r="F72" s="10">
        <v>31</v>
      </c>
      <c r="G72" s="12">
        <f>IF(FEBRERO[[#This Row],[Dias a vencer]]="","",E72+F72)</f>
        <v>45022</v>
      </c>
      <c r="H72" s="10" t="str">
        <f t="shared" ca="1" si="4"/>
        <v>Vencido hace29 dias</v>
      </c>
      <c r="I72" s="10" t="s">
        <v>16</v>
      </c>
      <c r="J72" s="13">
        <v>17.5</v>
      </c>
      <c r="K72" s="10">
        <f t="shared" ca="1" si="5"/>
        <v>-29</v>
      </c>
      <c r="L72" s="10"/>
      <c r="M72" s="10" t="s">
        <v>17</v>
      </c>
    </row>
    <row r="73" spans="2:13" x14ac:dyDescent="0.3">
      <c r="B73" s="10">
        <f>ROW()-ROW(FEBRERO[[#Headers],[No]])</f>
        <v>68</v>
      </c>
      <c r="C73" s="10" t="s">
        <v>69</v>
      </c>
      <c r="D73" s="11" t="s">
        <v>70</v>
      </c>
      <c r="E73" s="12">
        <v>44992</v>
      </c>
      <c r="F73" s="10">
        <v>31</v>
      </c>
      <c r="G73" s="12">
        <f>IF(FEBRERO[[#This Row],[Dias a vencer]]="","",E73+F73)</f>
        <v>45023</v>
      </c>
      <c r="H73" s="10" t="str">
        <f t="shared" ca="1" si="4"/>
        <v>Vencido hace28 dias</v>
      </c>
      <c r="I73" s="10" t="s">
        <v>16</v>
      </c>
      <c r="J73" s="13">
        <v>20</v>
      </c>
      <c r="K73" s="10">
        <f t="shared" ca="1" si="5"/>
        <v>-28</v>
      </c>
      <c r="L73" s="10"/>
      <c r="M73" s="10"/>
    </row>
    <row r="74" spans="2:13" x14ac:dyDescent="0.3">
      <c r="B74" s="10">
        <f>ROW()-ROW(FEBRERO[[#Headers],[No]])</f>
        <v>69</v>
      </c>
      <c r="C74" s="10" t="s">
        <v>75</v>
      </c>
      <c r="D74" s="11" t="s">
        <v>76</v>
      </c>
      <c r="E74" s="12">
        <v>44993</v>
      </c>
      <c r="F74" s="10">
        <v>31</v>
      </c>
      <c r="G74" s="12">
        <f>IF(FEBRERO[[#This Row],[Dias a vencer]]="","",E74+F74)</f>
        <v>45024</v>
      </c>
      <c r="H74" s="10" t="str">
        <f t="shared" ca="1" si="4"/>
        <v>Vencido hace27 dias</v>
      </c>
      <c r="I74" s="10" t="s">
        <v>16</v>
      </c>
      <c r="J74" s="13">
        <v>17.5</v>
      </c>
      <c r="K74" s="10">
        <f t="shared" ca="1" si="5"/>
        <v>-27</v>
      </c>
      <c r="L74" s="10"/>
      <c r="M74" s="10"/>
    </row>
    <row r="75" spans="2:13" x14ac:dyDescent="0.3">
      <c r="B75" s="10">
        <f>ROW()-ROW(FEBRERO[[#Headers],[No]])</f>
        <v>70</v>
      </c>
      <c r="C75" s="10" t="s">
        <v>77</v>
      </c>
      <c r="D75" s="11" t="s">
        <v>78</v>
      </c>
      <c r="E75" s="12">
        <v>44993</v>
      </c>
      <c r="F75" s="10">
        <v>31</v>
      </c>
      <c r="G75" s="12">
        <f>IF(FEBRERO[[#This Row],[Dias a vencer]]="","",E75+F75)</f>
        <v>45024</v>
      </c>
      <c r="H75" s="10" t="str">
        <f t="shared" ca="1" si="4"/>
        <v>Vencido hace27 dias</v>
      </c>
      <c r="I75" s="10" t="s">
        <v>16</v>
      </c>
      <c r="J75" s="13">
        <v>17.5</v>
      </c>
      <c r="K75" s="10">
        <f t="shared" ca="1" si="5"/>
        <v>-27</v>
      </c>
      <c r="L75" s="10"/>
      <c r="M75" s="10"/>
    </row>
    <row r="76" spans="2:13" x14ac:dyDescent="0.3">
      <c r="B76" s="10">
        <f>ROW()-ROW(FEBRERO[[#Headers],[No]])</f>
        <v>71</v>
      </c>
      <c r="C76" s="10" t="s">
        <v>150</v>
      </c>
      <c r="D76" s="11" t="s">
        <v>101</v>
      </c>
      <c r="E76" s="12">
        <v>44993</v>
      </c>
      <c r="F76" s="10">
        <v>31</v>
      </c>
      <c r="G76" s="12">
        <f>IF(FEBRERO[[#This Row],[Dias a vencer]]="","",E76+F76)</f>
        <v>45024</v>
      </c>
      <c r="H76" s="10" t="str">
        <f t="shared" ca="1" si="4"/>
        <v>Vencido hace27 dias</v>
      </c>
      <c r="I76" s="10" t="s">
        <v>16</v>
      </c>
      <c r="J76" s="13">
        <v>17.5</v>
      </c>
      <c r="K76" s="10">
        <f t="shared" ca="1" si="5"/>
        <v>-27</v>
      </c>
      <c r="L76" s="10"/>
      <c r="M76" s="10" t="s">
        <v>17</v>
      </c>
    </row>
    <row r="77" spans="2:13" x14ac:dyDescent="0.3">
      <c r="B77" s="10">
        <f>ROW()-ROW(FEBRERO[[#Headers],[No]])</f>
        <v>72</v>
      </c>
      <c r="C77" s="10" t="s">
        <v>79</v>
      </c>
      <c r="D77" s="11" t="s">
        <v>80</v>
      </c>
      <c r="E77" s="12">
        <v>44998</v>
      </c>
      <c r="F77" s="10">
        <v>31</v>
      </c>
      <c r="G77" s="12">
        <f>IF(FEBRERO[[#This Row],[Dias a vencer]]="","",E77+F77)</f>
        <v>45029</v>
      </c>
      <c r="H77" s="10" t="str">
        <f t="shared" ca="1" si="4"/>
        <v>Vencido hace22 dias</v>
      </c>
      <c r="I77" s="10" t="s">
        <v>16</v>
      </c>
      <c r="J77" s="13">
        <v>17.5</v>
      </c>
      <c r="K77" s="10">
        <f t="shared" ca="1" si="5"/>
        <v>-22</v>
      </c>
      <c r="L77" s="10"/>
      <c r="M77" s="10"/>
    </row>
    <row r="78" spans="2:13" x14ac:dyDescent="0.3">
      <c r="B78" s="10">
        <f>ROW()-ROW(FEBRERO[[#Headers],[No]])</f>
        <v>73</v>
      </c>
      <c r="C78" s="10" t="s">
        <v>81</v>
      </c>
      <c r="D78" s="11" t="s">
        <v>82</v>
      </c>
      <c r="E78" s="12">
        <v>44998</v>
      </c>
      <c r="F78" s="10">
        <v>31</v>
      </c>
      <c r="G78" s="12">
        <f>IF(FEBRERO[[#This Row],[Dias a vencer]]="","",E78+F78)</f>
        <v>45029</v>
      </c>
      <c r="H78" s="10" t="str">
        <f t="shared" ca="1" si="4"/>
        <v>Vencido hace22 dias</v>
      </c>
      <c r="I78" s="10" t="s">
        <v>16</v>
      </c>
      <c r="J78" s="13">
        <v>17.5</v>
      </c>
      <c r="K78" s="10">
        <f t="shared" ca="1" si="5"/>
        <v>-22</v>
      </c>
      <c r="L78" s="10"/>
      <c r="M78" s="10"/>
    </row>
    <row r="79" spans="2:13" x14ac:dyDescent="0.3">
      <c r="B79" s="10">
        <f>ROW()-ROW(FEBRERO[[#Headers],[No]])</f>
        <v>74</v>
      </c>
      <c r="C79" s="10" t="s">
        <v>83</v>
      </c>
      <c r="D79" s="11"/>
      <c r="E79" s="12">
        <v>44998</v>
      </c>
      <c r="F79" s="10">
        <v>31</v>
      </c>
      <c r="G79" s="12">
        <f>IF(FEBRERO[[#This Row],[Dias a vencer]]="","",E79+F79)</f>
        <v>45029</v>
      </c>
      <c r="H79" s="10" t="str">
        <f t="shared" ca="1" si="4"/>
        <v>Vencido hace22 dias</v>
      </c>
      <c r="I79" s="10" t="s">
        <v>16</v>
      </c>
      <c r="J79" s="13">
        <v>17.5</v>
      </c>
      <c r="K79" s="10">
        <f t="shared" ca="1" si="5"/>
        <v>-22</v>
      </c>
      <c r="L79" s="10"/>
      <c r="M79" s="10"/>
    </row>
    <row r="80" spans="2:13" x14ac:dyDescent="0.3">
      <c r="B80" s="10">
        <f>ROW()-ROW(FEBRERO[[#Headers],[No]])</f>
        <v>75</v>
      </c>
      <c r="C80" s="10" t="s">
        <v>85</v>
      </c>
      <c r="D80" s="16" t="s">
        <v>105</v>
      </c>
      <c r="E80" s="12">
        <v>44999</v>
      </c>
      <c r="F80" s="10">
        <v>31</v>
      </c>
      <c r="G80" s="12">
        <f>IF(FEBRERO[[#This Row],[Dias a vencer]]="","",E80+F80)</f>
        <v>45030</v>
      </c>
      <c r="H80" s="10" t="str">
        <f t="shared" ca="1" si="4"/>
        <v>Vencido hace21 dias</v>
      </c>
      <c r="I80" s="17" t="s">
        <v>16</v>
      </c>
      <c r="J80" s="20">
        <v>20</v>
      </c>
      <c r="K80" s="10">
        <f t="shared" ca="1" si="5"/>
        <v>-21</v>
      </c>
      <c r="L80" s="10"/>
      <c r="M80" s="10" t="s">
        <v>17</v>
      </c>
    </row>
    <row r="81" spans="2:13" x14ac:dyDescent="0.3">
      <c r="B81" s="10">
        <f>ROW()-ROW(FEBRERO[[#Headers],[No]])</f>
        <v>76</v>
      </c>
      <c r="C81" s="10" t="s">
        <v>87</v>
      </c>
      <c r="D81" s="11" t="s">
        <v>88</v>
      </c>
      <c r="E81" s="12">
        <v>45000</v>
      </c>
      <c r="F81" s="10">
        <v>31</v>
      </c>
      <c r="G81" s="12">
        <f>IF(FEBRERO[[#This Row],[Dias a vencer]]="","",E81+F81)</f>
        <v>45031</v>
      </c>
      <c r="H81" s="10" t="str">
        <f t="shared" ca="1" si="4"/>
        <v>Vencido hace20 dias</v>
      </c>
      <c r="I81" s="17" t="s">
        <v>13</v>
      </c>
      <c r="J81" s="20">
        <v>17.5</v>
      </c>
      <c r="K81" s="10">
        <f t="shared" ca="1" si="5"/>
        <v>-20</v>
      </c>
      <c r="L81" s="10"/>
      <c r="M81" s="10" t="s">
        <v>17</v>
      </c>
    </row>
    <row r="82" spans="2:13" x14ac:dyDescent="0.3">
      <c r="B82" s="10">
        <f>ROW()-ROW(FEBRERO[[#Headers],[No]])</f>
        <v>77</v>
      </c>
      <c r="C82" s="10" t="s">
        <v>151</v>
      </c>
      <c r="D82" s="11"/>
      <c r="E82" s="12">
        <v>45000</v>
      </c>
      <c r="F82" s="10">
        <v>31</v>
      </c>
      <c r="G82" s="12">
        <f>IF(FEBRERO[[#This Row],[Dias a vencer]]="","",E82+F82)</f>
        <v>45031</v>
      </c>
      <c r="H82" s="10" t="str">
        <f t="shared" ca="1" si="4"/>
        <v>Vencido hace20 dias</v>
      </c>
      <c r="I82" s="17" t="s">
        <v>13</v>
      </c>
      <c r="J82" s="20">
        <v>17.5</v>
      </c>
      <c r="K82" s="10">
        <f t="shared" ca="1" si="5"/>
        <v>-20</v>
      </c>
      <c r="L82" s="10"/>
      <c r="M82" s="10" t="s">
        <v>17</v>
      </c>
    </row>
    <row r="83" spans="2:13" x14ac:dyDescent="0.3">
      <c r="B83" s="10">
        <f>ROW()-ROW(FEBRERO[[#Headers],[No]])</f>
        <v>78</v>
      </c>
      <c r="C83" s="10" t="s">
        <v>90</v>
      </c>
      <c r="D83" s="11" t="s">
        <v>91</v>
      </c>
      <c r="E83" s="12">
        <v>45001</v>
      </c>
      <c r="F83" s="10">
        <v>31</v>
      </c>
      <c r="G83" s="12">
        <f>IF(FEBRERO[[#This Row],[Dias a vencer]]="","",E83+F83)</f>
        <v>45032</v>
      </c>
      <c r="H83" s="10" t="str">
        <f t="shared" ca="1" si="4"/>
        <v>Vencido hace19 dias</v>
      </c>
      <c r="I83" s="17" t="s">
        <v>16</v>
      </c>
      <c r="J83" s="20">
        <v>20</v>
      </c>
      <c r="K83" s="10">
        <f t="shared" ca="1" si="5"/>
        <v>-19</v>
      </c>
      <c r="L83" s="10"/>
      <c r="M83" s="10" t="s">
        <v>17</v>
      </c>
    </row>
    <row r="84" spans="2:13" x14ac:dyDescent="0.3">
      <c r="B84" s="10">
        <f>ROW()-ROW(FEBRERO[[#Headers],[No]])</f>
        <v>79</v>
      </c>
      <c r="C84" s="17" t="s">
        <v>92</v>
      </c>
      <c r="D84" s="18"/>
      <c r="E84" s="19">
        <v>45001</v>
      </c>
      <c r="F84" s="17">
        <v>31</v>
      </c>
      <c r="G84" s="19">
        <f>IF(FEBRERO[[#This Row],[Dias a vencer]]="","",E84+F84)</f>
        <v>45032</v>
      </c>
      <c r="H84" s="17" t="str">
        <f t="shared" ca="1" si="4"/>
        <v>Vencido hace19 dias</v>
      </c>
      <c r="I84" s="17" t="s">
        <v>13</v>
      </c>
      <c r="J84" s="20">
        <v>17.5</v>
      </c>
      <c r="K84" s="10">
        <f t="shared" ca="1" si="5"/>
        <v>-19</v>
      </c>
      <c r="L84" s="17"/>
      <c r="M84" s="17"/>
    </row>
    <row r="85" spans="2:13" x14ac:dyDescent="0.3">
      <c r="B85" s="10">
        <f>ROW()-ROW(FEBRERO[[#Headers],[No]])</f>
        <v>80</v>
      </c>
      <c r="C85" s="10" t="s">
        <v>113</v>
      </c>
      <c r="D85" s="11"/>
      <c r="E85" s="12">
        <v>45001</v>
      </c>
      <c r="F85" s="10">
        <v>31</v>
      </c>
      <c r="G85" s="12">
        <f>IF(FEBRERO[[#This Row],[Dias a vencer]]="","",E85+F85)</f>
        <v>45032</v>
      </c>
      <c r="H85" s="10" t="str">
        <f t="shared" ca="1" si="4"/>
        <v>Vencido hace19 dias</v>
      </c>
      <c r="I85" s="10" t="s">
        <v>13</v>
      </c>
      <c r="J85" s="13">
        <v>17.5</v>
      </c>
      <c r="K85" s="10">
        <f t="shared" ca="1" si="5"/>
        <v>-19</v>
      </c>
      <c r="L85" s="10"/>
      <c r="M85" s="21"/>
    </row>
    <row r="86" spans="2:13" x14ac:dyDescent="0.3">
      <c r="B86" s="10">
        <f>ROW()-ROW(FEBRERO[[#Headers],[No]])</f>
        <v>81</v>
      </c>
      <c r="C86" s="10" t="s">
        <v>94</v>
      </c>
      <c r="D86" s="11"/>
      <c r="E86" s="12">
        <v>45007</v>
      </c>
      <c r="F86" s="10">
        <v>31</v>
      </c>
      <c r="G86" s="12">
        <f>IF(FEBRERO[[#This Row],[Dias a vencer]]="","",E86+F86)</f>
        <v>45038</v>
      </c>
      <c r="H86" s="10" t="str">
        <f t="shared" ca="1" si="4"/>
        <v>Vencido hace13 dias</v>
      </c>
      <c r="I86" s="10" t="s">
        <v>16</v>
      </c>
      <c r="J86" s="13">
        <v>20</v>
      </c>
      <c r="K86" s="10">
        <f t="shared" ca="1" si="5"/>
        <v>-13</v>
      </c>
      <c r="L86" s="10"/>
      <c r="M86" s="10"/>
    </row>
    <row r="87" spans="2:13" x14ac:dyDescent="0.3">
      <c r="B87" s="10">
        <f>ROW()-ROW(FEBRERO[[#Headers],[No]])</f>
        <v>82</v>
      </c>
      <c r="C87" s="10" t="s">
        <v>95</v>
      </c>
      <c r="D87" s="11" t="s">
        <v>96</v>
      </c>
      <c r="E87" s="12">
        <v>45008</v>
      </c>
      <c r="F87" s="10">
        <v>31</v>
      </c>
      <c r="G87" s="12">
        <f>IF(FEBRERO[[#This Row],[Dias a vencer]]="","",E87+F87)</f>
        <v>45039</v>
      </c>
      <c r="H87" s="10" t="str">
        <f t="shared" ca="1" si="4"/>
        <v>Vencido hace12 dias</v>
      </c>
      <c r="I87" s="17" t="s">
        <v>13</v>
      </c>
      <c r="J87" s="20">
        <v>20</v>
      </c>
      <c r="K87" s="10">
        <f t="shared" ca="1" si="5"/>
        <v>-12</v>
      </c>
      <c r="L87" s="17"/>
      <c r="M87" s="10"/>
    </row>
    <row r="88" spans="2:13" x14ac:dyDescent="0.3">
      <c r="B88" s="10">
        <f>ROW()-ROW(FEBRERO[[#Headers],[No]])</f>
        <v>83</v>
      </c>
      <c r="C88" s="10" t="s">
        <v>97</v>
      </c>
      <c r="D88" s="11" t="s">
        <v>98</v>
      </c>
      <c r="E88" s="12">
        <v>45009</v>
      </c>
      <c r="F88" s="10">
        <v>31</v>
      </c>
      <c r="G88" s="12">
        <f>IF(FEBRERO[[#This Row],[Dias a vencer]]="","",E88+F88)</f>
        <v>45040</v>
      </c>
      <c r="H88" s="10" t="str">
        <f t="shared" ca="1" si="4"/>
        <v>Vencido hace11 dias</v>
      </c>
      <c r="I88" s="17" t="s">
        <v>13</v>
      </c>
      <c r="J88" s="20">
        <v>17.5</v>
      </c>
      <c r="K88" s="10">
        <f t="shared" ca="1" si="5"/>
        <v>-11</v>
      </c>
      <c r="L88" s="17"/>
      <c r="M88" s="10" t="s">
        <v>17</v>
      </c>
    </row>
    <row r="89" spans="2:13" x14ac:dyDescent="0.3">
      <c r="B89" s="10">
        <f>ROW()-ROW(FEBRERO[[#Headers],[No]])</f>
        <v>84</v>
      </c>
      <c r="C89" s="10" t="s">
        <v>99</v>
      </c>
      <c r="D89" s="11"/>
      <c r="E89" s="12">
        <v>45009</v>
      </c>
      <c r="F89" s="10">
        <v>31</v>
      </c>
      <c r="G89" s="12">
        <f>IF(FEBRERO[[#This Row],[Dias a vencer]]="","",E89+F89)</f>
        <v>45040</v>
      </c>
      <c r="H89" s="10" t="str">
        <f t="shared" ca="1" si="4"/>
        <v>Vencido hace11 dias</v>
      </c>
      <c r="I89" s="17" t="s">
        <v>13</v>
      </c>
      <c r="J89" s="20">
        <v>17.5</v>
      </c>
      <c r="K89" s="10">
        <f t="shared" ca="1" si="5"/>
        <v>-11</v>
      </c>
      <c r="L89" s="17"/>
      <c r="M89" s="10" t="s">
        <v>17</v>
      </c>
    </row>
    <row r="90" spans="2:13" x14ac:dyDescent="0.3">
      <c r="B90" s="10">
        <f>ROW()-ROW(FEBRERO[[#Headers],[No]])</f>
        <v>85</v>
      </c>
      <c r="C90" s="10" t="s">
        <v>14</v>
      </c>
      <c r="D90" s="11" t="s">
        <v>15</v>
      </c>
      <c r="E90" s="12">
        <v>45010</v>
      </c>
      <c r="F90" s="10">
        <v>31</v>
      </c>
      <c r="G90" s="12">
        <f>IF(FEBRERO[[#This Row],[Dias a vencer]]="","",E90+F90)</f>
        <v>45041</v>
      </c>
      <c r="H90" s="10" t="str">
        <f t="shared" ca="1" si="4"/>
        <v>Vencido hace10 dias</v>
      </c>
      <c r="I90" s="17" t="s">
        <v>13</v>
      </c>
      <c r="J90" s="20">
        <v>20</v>
      </c>
      <c r="K90" s="10">
        <f t="shared" ca="1" si="5"/>
        <v>-10</v>
      </c>
      <c r="L90" s="17"/>
      <c r="M90" s="10"/>
    </row>
    <row r="91" spans="2:13" x14ac:dyDescent="0.3">
      <c r="B91" s="10">
        <f>ROW()-ROW(FEBRERO[[#Headers],[No]])</f>
        <v>86</v>
      </c>
      <c r="C91" s="10" t="s">
        <v>28</v>
      </c>
      <c r="D91" s="11" t="s">
        <v>29</v>
      </c>
      <c r="E91" s="12">
        <v>45012</v>
      </c>
      <c r="F91" s="10">
        <v>31</v>
      </c>
      <c r="G91" s="12">
        <f>IF(FEBRERO[[#This Row],[Dias a vencer]]="","",E91+F91)</f>
        <v>45043</v>
      </c>
      <c r="H91" s="10" t="str">
        <f t="shared" ca="1" si="4"/>
        <v>Vencido hace8 dias</v>
      </c>
      <c r="I91" s="17" t="s">
        <v>16</v>
      </c>
      <c r="J91" s="20">
        <v>20</v>
      </c>
      <c r="K91" s="10">
        <f t="shared" ca="1" si="5"/>
        <v>-8</v>
      </c>
      <c r="L91" s="17"/>
      <c r="M91" s="10" t="s">
        <v>17</v>
      </c>
    </row>
    <row r="92" spans="2:13" x14ac:dyDescent="0.3">
      <c r="B92" s="10">
        <f>ROW()-ROW(FEBRERO[[#Headers],[No]])</f>
        <v>87</v>
      </c>
      <c r="C92" s="10" t="s">
        <v>30</v>
      </c>
      <c r="D92" s="11"/>
      <c r="E92" s="12">
        <v>45012</v>
      </c>
      <c r="F92" s="10">
        <v>31</v>
      </c>
      <c r="G92" s="12">
        <f>IF(FEBRERO[[#This Row],[Dias a vencer]]="","",E92+F92)</f>
        <v>45043</v>
      </c>
      <c r="H92" s="10" t="str">
        <f t="shared" ca="1" si="4"/>
        <v>Vencido hace8 dias</v>
      </c>
      <c r="I92" s="17" t="s">
        <v>16</v>
      </c>
      <c r="J92" s="20">
        <v>20</v>
      </c>
      <c r="K92" s="10">
        <f t="shared" ca="1" si="5"/>
        <v>-8</v>
      </c>
      <c r="L92" s="17"/>
      <c r="M92" s="10" t="s">
        <v>17</v>
      </c>
    </row>
    <row r="93" spans="2:13" x14ac:dyDescent="0.3">
      <c r="B93" s="10">
        <f>ROW()-ROW(FEBRERO[[#Headers],[No]])</f>
        <v>88</v>
      </c>
      <c r="C93" s="10" t="s">
        <v>106</v>
      </c>
      <c r="D93" s="11" t="s">
        <v>58</v>
      </c>
      <c r="E93" s="12">
        <v>45012</v>
      </c>
      <c r="F93" s="10">
        <v>31</v>
      </c>
      <c r="G93" s="12">
        <f>IF(FEBRERO[[#This Row],[Dias a vencer]]="","",E93+F93)</f>
        <v>45043</v>
      </c>
      <c r="H93" s="10" t="str">
        <f t="shared" ca="1" si="4"/>
        <v>Vencido hace8 dias</v>
      </c>
      <c r="I93" s="10" t="s">
        <v>16</v>
      </c>
      <c r="J93" s="13">
        <v>20</v>
      </c>
      <c r="K93" s="10">
        <f t="shared" ca="1" si="5"/>
        <v>-8</v>
      </c>
      <c r="L93" s="10"/>
      <c r="M93" s="10" t="s">
        <v>17</v>
      </c>
    </row>
    <row r="94" spans="2:13" x14ac:dyDescent="0.3">
      <c r="B94" s="10">
        <f>ROW()-ROW(FEBRERO[[#Headers],[No]])</f>
        <v>89</v>
      </c>
      <c r="C94" s="10" t="s">
        <v>107</v>
      </c>
      <c r="D94" s="11" t="s">
        <v>108</v>
      </c>
      <c r="E94" s="12">
        <v>45013</v>
      </c>
      <c r="F94" s="10">
        <v>15</v>
      </c>
      <c r="G94" s="12">
        <f>IF(FEBRERO[[#This Row],[Dias a vencer]]="","",E94+F94)</f>
        <v>45028</v>
      </c>
      <c r="H94" s="10" t="str">
        <f t="shared" ca="1" si="4"/>
        <v>Vencido hace23 dias</v>
      </c>
      <c r="I94" s="10" t="s">
        <v>16</v>
      </c>
      <c r="J94" s="13">
        <v>10</v>
      </c>
      <c r="K94" s="10">
        <f t="shared" ca="1" si="5"/>
        <v>-23</v>
      </c>
      <c r="L94" s="10"/>
      <c r="M94" s="10"/>
    </row>
    <row r="95" spans="2:13" x14ac:dyDescent="0.3">
      <c r="B95" s="10">
        <f>ROW()-ROW(FEBRERO[[#Headers],[No]])</f>
        <v>90</v>
      </c>
      <c r="C95" s="10" t="s">
        <v>109</v>
      </c>
      <c r="D95" s="11" t="s">
        <v>110</v>
      </c>
      <c r="E95" s="12">
        <v>45013</v>
      </c>
      <c r="F95" s="10">
        <v>31</v>
      </c>
      <c r="G95" s="12">
        <f>IF(FEBRERO[[#This Row],[Dias a vencer]]="","",E95+F95)</f>
        <v>45044</v>
      </c>
      <c r="H95" s="10" t="str">
        <f t="shared" ca="1" si="4"/>
        <v>Vencido hace7 dias</v>
      </c>
      <c r="I95" s="17" t="s">
        <v>13</v>
      </c>
      <c r="J95" s="20">
        <v>20</v>
      </c>
      <c r="K95" s="10">
        <f t="shared" ca="1" si="5"/>
        <v>-7</v>
      </c>
      <c r="L95" s="17"/>
      <c r="M95" s="10"/>
    </row>
    <row r="96" spans="2:13" x14ac:dyDescent="0.3">
      <c r="B96" s="10">
        <f>ROW()-ROW(FEBRERO[[#Headers],[No]])</f>
        <v>91</v>
      </c>
      <c r="C96" s="10" t="s">
        <v>111</v>
      </c>
      <c r="D96" s="11" t="s">
        <v>112</v>
      </c>
      <c r="E96" s="12">
        <v>45013</v>
      </c>
      <c r="F96" s="10">
        <v>31</v>
      </c>
      <c r="G96" s="12">
        <f>IF(FEBRERO[[#This Row],[Dias a vencer]]="","",E96+F96)</f>
        <v>45044</v>
      </c>
      <c r="H96" s="10" t="str">
        <f t="shared" ca="1" si="4"/>
        <v>Vencido hace7 dias</v>
      </c>
      <c r="I96" s="17" t="s">
        <v>13</v>
      </c>
      <c r="J96" s="20">
        <v>20</v>
      </c>
      <c r="K96" s="10">
        <f t="shared" ca="1" si="5"/>
        <v>-7</v>
      </c>
      <c r="L96" s="17"/>
      <c r="M96" s="10"/>
    </row>
    <row r="97" spans="2:13" x14ac:dyDescent="0.3">
      <c r="B97" s="10">
        <f>ROW()-ROW(FEBRERO[[#Headers],[No]])</f>
        <v>92</v>
      </c>
      <c r="C97" s="10" t="s">
        <v>71</v>
      </c>
      <c r="D97" s="11" t="s">
        <v>72</v>
      </c>
      <c r="E97" s="12">
        <v>45017</v>
      </c>
      <c r="F97" s="10">
        <v>30</v>
      </c>
      <c r="G97" s="12">
        <f>IF(FEBRERO[[#This Row],[Dias a vencer]]="","",E97+F97)</f>
        <v>45047</v>
      </c>
      <c r="H97" s="10" t="str">
        <f t="shared" ca="1" si="4"/>
        <v>Vencido hace4 dias</v>
      </c>
      <c r="I97" s="17" t="s">
        <v>16</v>
      </c>
      <c r="J97" s="25">
        <v>17.5</v>
      </c>
      <c r="K97" s="10">
        <f t="shared" ca="1" si="5"/>
        <v>-4</v>
      </c>
      <c r="L97" s="17"/>
      <c r="M97" s="10"/>
    </row>
    <row r="98" spans="2:13" x14ac:dyDescent="0.3">
      <c r="B98" s="10">
        <f>ROW()-ROW(FEBRERO[[#Headers],[No]])</f>
        <v>93</v>
      </c>
      <c r="C98" s="10" t="s">
        <v>73</v>
      </c>
      <c r="D98" s="11" t="s">
        <v>74</v>
      </c>
      <c r="E98" s="12">
        <v>45017</v>
      </c>
      <c r="F98" s="10">
        <v>30</v>
      </c>
      <c r="G98" s="12">
        <f>IF(FEBRERO[[#This Row],[Dias a vencer]]="","",E98+F98)</f>
        <v>45047</v>
      </c>
      <c r="H98" s="10" t="str">
        <f t="shared" ca="1" si="4"/>
        <v>Vencido hace4 dias</v>
      </c>
      <c r="I98" s="17" t="s">
        <v>16</v>
      </c>
      <c r="J98" s="20">
        <v>17.5</v>
      </c>
      <c r="K98" s="10">
        <f t="shared" ca="1" si="5"/>
        <v>-4</v>
      </c>
      <c r="L98" s="17"/>
      <c r="M98" s="10"/>
    </row>
    <row r="99" spans="2:13" x14ac:dyDescent="0.3">
      <c r="B99" s="10">
        <f>ROW()-ROW(FEBRERO[[#Headers],[No]])</f>
        <v>94</v>
      </c>
      <c r="C99" s="10" t="s">
        <v>115</v>
      </c>
      <c r="D99" s="11" t="s">
        <v>116</v>
      </c>
      <c r="E99" s="12">
        <v>45019</v>
      </c>
      <c r="F99" s="10">
        <v>30</v>
      </c>
      <c r="G99" s="12">
        <f>IF(FEBRERO[[#This Row],[Dias a vencer]]="","",E99+F99)</f>
        <v>45049</v>
      </c>
      <c r="H99" s="10" t="str">
        <f t="shared" ca="1" si="4"/>
        <v>Vencido hace2 dias</v>
      </c>
      <c r="I99" s="17" t="s">
        <v>16</v>
      </c>
      <c r="J99" s="20">
        <v>20</v>
      </c>
      <c r="K99" s="10">
        <f t="shared" ca="1" si="5"/>
        <v>-2</v>
      </c>
      <c r="L99" s="17"/>
      <c r="M99" s="10"/>
    </row>
    <row r="100" spans="2:13" x14ac:dyDescent="0.3">
      <c r="B100" s="10">
        <f>ROW()-ROW(FEBRERO[[#Headers],[No]])</f>
        <v>95</v>
      </c>
      <c r="C100" s="10" t="s">
        <v>117</v>
      </c>
      <c r="D100" s="11" t="s">
        <v>118</v>
      </c>
      <c r="E100" s="12">
        <v>45019</v>
      </c>
      <c r="F100" s="10">
        <v>30</v>
      </c>
      <c r="G100" s="12">
        <f>IF(FEBRERO[[#This Row],[Dias a vencer]]="","",E100+F100)</f>
        <v>45049</v>
      </c>
      <c r="H100" s="10" t="str">
        <f t="shared" ca="1" si="4"/>
        <v>Vencido hace2 dias</v>
      </c>
      <c r="I100" s="17" t="s">
        <v>16</v>
      </c>
      <c r="J100" s="20">
        <v>20</v>
      </c>
      <c r="K100" s="10">
        <f t="shared" ca="1" si="5"/>
        <v>-2</v>
      </c>
      <c r="L100" s="17"/>
      <c r="M100" s="10"/>
    </row>
    <row r="101" spans="2:13" x14ac:dyDescent="0.3">
      <c r="B101" s="10">
        <f>ROW()-ROW(FEBRERO[[#Headers],[No]])</f>
        <v>96</v>
      </c>
      <c r="C101" s="10" t="s">
        <v>119</v>
      </c>
      <c r="D101" s="11" t="s">
        <v>50</v>
      </c>
      <c r="E101" s="12">
        <v>45019</v>
      </c>
      <c r="F101" s="10">
        <v>30</v>
      </c>
      <c r="G101" s="12">
        <f>IF(FEBRERO[[#This Row],[Dias a vencer]]="","",E101+F101)</f>
        <v>45049</v>
      </c>
      <c r="H101" s="10" t="str">
        <f t="shared" ca="1" si="4"/>
        <v>Vencido hace2 dias</v>
      </c>
      <c r="I101" s="17" t="s">
        <v>13</v>
      </c>
      <c r="J101" s="20">
        <v>20</v>
      </c>
      <c r="K101" s="10">
        <f t="shared" ca="1" si="5"/>
        <v>-2</v>
      </c>
      <c r="L101" s="17">
        <v>2</v>
      </c>
      <c r="M101" s="17"/>
    </row>
    <row r="102" spans="2:13" x14ac:dyDescent="0.3">
      <c r="B102" s="10">
        <f>ROW()-ROW(FEBRERO[[#Headers],[No]])</f>
        <v>97</v>
      </c>
      <c r="C102" s="10" t="s">
        <v>120</v>
      </c>
      <c r="D102" s="11" t="s">
        <v>121</v>
      </c>
      <c r="E102" s="12">
        <v>45020</v>
      </c>
      <c r="F102" s="10">
        <v>30</v>
      </c>
      <c r="G102" s="12">
        <f>IF(FEBRERO[[#This Row],[Dias a vencer]]="","",E102+F102)</f>
        <v>45050</v>
      </c>
      <c r="H102" s="10" t="str">
        <f t="shared" ref="H102:H133" ca="1" si="6">IF(K102&lt;0,"Vencido hace"&amp;K102*-1&amp;" dias",IF(K102=0,"Vence hoy",IF(K102&lt;4,"Tiene "&amp;K102&amp;" dias","Faltan "&amp;K102&amp;" dias")))</f>
        <v>Vencido hace1 dias</v>
      </c>
      <c r="I102" s="17" t="s">
        <v>16</v>
      </c>
      <c r="J102" s="20">
        <v>20</v>
      </c>
      <c r="K102" s="10">
        <f t="shared" ref="K102:K133" ca="1" si="7">G102-$B$4</f>
        <v>-1</v>
      </c>
      <c r="L102" s="17"/>
      <c r="M102" s="17" t="s">
        <v>140</v>
      </c>
    </row>
    <row r="103" spans="2:13" x14ac:dyDescent="0.3">
      <c r="B103" s="10">
        <f>ROW()-ROW(FEBRERO[[#Headers],[No]])</f>
        <v>98</v>
      </c>
      <c r="C103" s="10" t="s">
        <v>122</v>
      </c>
      <c r="D103" s="11" t="s">
        <v>123</v>
      </c>
      <c r="E103" s="12">
        <v>45020</v>
      </c>
      <c r="F103" s="10">
        <v>30</v>
      </c>
      <c r="G103" s="12">
        <f>IF(FEBRERO[[#This Row],[Dias a vencer]]="","",E103+F103)</f>
        <v>45050</v>
      </c>
      <c r="H103" s="10" t="str">
        <f t="shared" ca="1" si="6"/>
        <v>Vencido hace1 dias</v>
      </c>
      <c r="I103" s="17" t="s">
        <v>16</v>
      </c>
      <c r="J103" s="20">
        <v>20</v>
      </c>
      <c r="K103" s="10">
        <f t="shared" ca="1" si="7"/>
        <v>-1</v>
      </c>
      <c r="L103" s="17"/>
      <c r="M103" s="17"/>
    </row>
    <row r="104" spans="2:13" x14ac:dyDescent="0.3">
      <c r="B104" s="10">
        <f>ROW()-ROW(FEBRERO[[#Headers],[No]])</f>
        <v>99</v>
      </c>
      <c r="C104" s="10" t="s">
        <v>124</v>
      </c>
      <c r="D104" s="11" t="s">
        <v>125</v>
      </c>
      <c r="E104" s="12">
        <v>45021</v>
      </c>
      <c r="F104" s="10">
        <v>30</v>
      </c>
      <c r="G104" s="12">
        <f>IF(FEBRERO[[#This Row],[Dias a vencer]]="","",E104+F104)</f>
        <v>45051</v>
      </c>
      <c r="H104" s="10" t="str">
        <f t="shared" ca="1" si="6"/>
        <v>Vence hoy</v>
      </c>
      <c r="I104" s="17" t="s">
        <v>16</v>
      </c>
      <c r="J104" s="20">
        <v>20</v>
      </c>
      <c r="K104" s="10">
        <f t="shared" ca="1" si="7"/>
        <v>0</v>
      </c>
      <c r="L104" s="17"/>
      <c r="M104" s="17"/>
    </row>
    <row r="105" spans="2:13" x14ac:dyDescent="0.3">
      <c r="B105" s="10">
        <f>ROW()-ROW(FEBRERO[[#Headers],[No]])</f>
        <v>100</v>
      </c>
      <c r="C105" s="10" t="s">
        <v>61</v>
      </c>
      <c r="D105" s="11" t="s">
        <v>62</v>
      </c>
      <c r="E105" s="12">
        <v>45022</v>
      </c>
      <c r="F105" s="10">
        <v>30</v>
      </c>
      <c r="G105" s="12">
        <f>IF(FEBRERO[[#This Row],[Dias a vencer]]="","",E105+F105)</f>
        <v>45052</v>
      </c>
      <c r="H105" s="10" t="str">
        <f t="shared" ca="1" si="6"/>
        <v>Tiene 1 dias</v>
      </c>
      <c r="I105" s="17" t="s">
        <v>16</v>
      </c>
      <c r="J105" s="20">
        <v>20</v>
      </c>
      <c r="K105" s="10">
        <f t="shared" ca="1" si="7"/>
        <v>1</v>
      </c>
      <c r="L105" s="17">
        <v>2</v>
      </c>
      <c r="M105" s="17"/>
    </row>
    <row r="106" spans="2:13" x14ac:dyDescent="0.3">
      <c r="B106" s="10">
        <f>ROW()-ROW(FEBRERO[[#Headers],[No]])</f>
        <v>101</v>
      </c>
      <c r="C106" s="10" t="s">
        <v>63</v>
      </c>
      <c r="D106" s="11" t="s">
        <v>64</v>
      </c>
      <c r="E106" s="12">
        <v>45022</v>
      </c>
      <c r="F106" s="10">
        <v>30</v>
      </c>
      <c r="G106" s="12">
        <f>IF(FEBRERO[[#This Row],[Dias a vencer]]="","",E106+F106)</f>
        <v>45052</v>
      </c>
      <c r="H106" s="10" t="str">
        <f t="shared" ca="1" si="6"/>
        <v>Tiene 1 dias</v>
      </c>
      <c r="I106" s="17" t="s">
        <v>16</v>
      </c>
      <c r="J106" s="20">
        <v>20</v>
      </c>
      <c r="K106" s="10">
        <f t="shared" ca="1" si="7"/>
        <v>1</v>
      </c>
      <c r="L106" s="17">
        <v>2</v>
      </c>
      <c r="M106" s="17"/>
    </row>
    <row r="107" spans="2:13" x14ac:dyDescent="0.3">
      <c r="B107" s="10">
        <f>ROW()-ROW(FEBRERO[[#Headers],[No]])</f>
        <v>102</v>
      </c>
      <c r="C107" s="10" t="s">
        <v>126</v>
      </c>
      <c r="D107" s="11" t="s">
        <v>104</v>
      </c>
      <c r="E107" s="12">
        <v>45022</v>
      </c>
      <c r="F107" s="10">
        <v>30</v>
      </c>
      <c r="G107" s="12">
        <f>IF(FEBRERO[[#This Row],[Dias a vencer]]="","",E107+F107)</f>
        <v>45052</v>
      </c>
      <c r="H107" s="10" t="str">
        <f t="shared" ca="1" si="6"/>
        <v>Tiene 1 dias</v>
      </c>
      <c r="I107" s="10" t="s">
        <v>13</v>
      </c>
      <c r="J107" s="13">
        <v>20</v>
      </c>
      <c r="K107" s="10">
        <f t="shared" ca="1" si="7"/>
        <v>1</v>
      </c>
      <c r="L107" s="10">
        <v>2</v>
      </c>
      <c r="M107" s="10"/>
    </row>
    <row r="108" spans="2:13" x14ac:dyDescent="0.3">
      <c r="B108" s="10">
        <f>ROW()-ROW(FEBRERO[[#Headers],[No]])</f>
        <v>103</v>
      </c>
      <c r="C108" s="10" t="s">
        <v>127</v>
      </c>
      <c r="D108" s="11"/>
      <c r="E108" s="12">
        <v>45022</v>
      </c>
      <c r="F108" s="10">
        <v>30</v>
      </c>
      <c r="G108" s="12">
        <f>IF(FEBRERO[[#This Row],[Dias a vencer]]="","",E108+F108)</f>
        <v>45052</v>
      </c>
      <c r="H108" s="10" t="str">
        <f t="shared" ca="1" si="6"/>
        <v>Tiene 1 dias</v>
      </c>
      <c r="I108" s="17" t="s">
        <v>13</v>
      </c>
      <c r="J108" s="20">
        <v>20</v>
      </c>
      <c r="K108" s="10">
        <f t="shared" ca="1" si="7"/>
        <v>1</v>
      </c>
      <c r="L108" s="17">
        <v>2</v>
      </c>
      <c r="M108" s="17"/>
    </row>
    <row r="109" spans="2:13" x14ac:dyDescent="0.3">
      <c r="B109" s="10">
        <f>ROW()-ROW(FEBRERO[[#Headers],[No]])</f>
        <v>104</v>
      </c>
      <c r="C109" s="10" t="s">
        <v>57</v>
      </c>
      <c r="D109" s="11" t="s">
        <v>58</v>
      </c>
      <c r="E109" s="12">
        <v>45022</v>
      </c>
      <c r="F109" s="10">
        <v>30</v>
      </c>
      <c r="G109" s="12">
        <f>IF(FEBRERO[[#This Row],[Dias a vencer]]="","",E109+F109)</f>
        <v>45052</v>
      </c>
      <c r="H109" s="10" t="str">
        <f t="shared" ca="1" si="6"/>
        <v>Tiene 1 dias</v>
      </c>
      <c r="I109" s="17" t="s">
        <v>16</v>
      </c>
      <c r="J109" s="20">
        <v>20</v>
      </c>
      <c r="K109" s="10">
        <f t="shared" ca="1" si="7"/>
        <v>1</v>
      </c>
      <c r="L109" s="17">
        <v>2</v>
      </c>
      <c r="M109" s="17"/>
    </row>
    <row r="110" spans="2:13" x14ac:dyDescent="0.3">
      <c r="B110" s="10">
        <f>ROW()-ROW(FEBRERO[[#Headers],[No]])</f>
        <v>105</v>
      </c>
      <c r="C110" s="10" t="s">
        <v>100</v>
      </c>
      <c r="D110" s="11" t="s">
        <v>101</v>
      </c>
      <c r="E110" s="12">
        <v>45024</v>
      </c>
      <c r="F110" s="10">
        <v>30</v>
      </c>
      <c r="G110" s="12">
        <f>IF(FEBRERO[[#This Row],[Dias a vencer]]="","",E110+F110)</f>
        <v>45054</v>
      </c>
      <c r="H110" s="10" t="str">
        <f t="shared" ca="1" si="6"/>
        <v>Tiene 3 dias</v>
      </c>
      <c r="I110" s="10" t="s">
        <v>13</v>
      </c>
      <c r="J110" s="13">
        <v>20</v>
      </c>
      <c r="K110" s="10">
        <f t="shared" ca="1" si="7"/>
        <v>3</v>
      </c>
      <c r="L110" s="10">
        <v>2</v>
      </c>
      <c r="M110" s="10"/>
    </row>
    <row r="111" spans="2:13" x14ac:dyDescent="0.3">
      <c r="B111" s="10">
        <f>ROW()-ROW(FEBRERO[[#Headers],[No]])</f>
        <v>106</v>
      </c>
      <c r="C111" s="10" t="s">
        <v>159</v>
      </c>
      <c r="D111" s="11"/>
      <c r="E111" s="12">
        <v>45024</v>
      </c>
      <c r="F111" s="10">
        <v>30</v>
      </c>
      <c r="G111" s="12">
        <f>IF(FEBRERO[[#This Row],[Dias a vencer]]="","",E111+F111)</f>
        <v>45054</v>
      </c>
      <c r="H111" s="10" t="str">
        <f t="shared" ca="1" si="6"/>
        <v>Tiene 3 dias</v>
      </c>
      <c r="I111" s="17" t="s">
        <v>16</v>
      </c>
      <c r="J111" s="20"/>
      <c r="K111" s="10">
        <f t="shared" ca="1" si="7"/>
        <v>3</v>
      </c>
      <c r="L111" s="17"/>
      <c r="M111" s="17"/>
    </row>
    <row r="112" spans="2:13" x14ac:dyDescent="0.3">
      <c r="B112" s="10">
        <f>ROW()-ROW(FEBRERO[[#Headers],[No]])</f>
        <v>107</v>
      </c>
      <c r="C112" s="10" t="s">
        <v>176</v>
      </c>
      <c r="D112" s="22" t="s">
        <v>137</v>
      </c>
      <c r="E112" s="12">
        <v>45024</v>
      </c>
      <c r="F112" s="10">
        <v>30</v>
      </c>
      <c r="G112" s="12">
        <f>IF(FEBRERO[[#This Row],[Dias a vencer]]="","",E112+F112)</f>
        <v>45054</v>
      </c>
      <c r="H112" s="10" t="str">
        <f t="shared" ca="1" si="6"/>
        <v>Tiene 3 dias</v>
      </c>
      <c r="I112" s="17" t="s">
        <v>16</v>
      </c>
      <c r="J112" s="20"/>
      <c r="K112" s="10">
        <f t="shared" ca="1" si="7"/>
        <v>3</v>
      </c>
      <c r="L112" s="17"/>
      <c r="M112" s="17"/>
    </row>
    <row r="113" spans="2:13" x14ac:dyDescent="0.3">
      <c r="B113" s="17">
        <f>ROW()-ROW(FEBRERO[[#Headers],[No]])</f>
        <v>108</v>
      </c>
      <c r="C113" s="17" t="s">
        <v>31</v>
      </c>
      <c r="D113" s="18" t="s">
        <v>32</v>
      </c>
      <c r="E113" s="19">
        <v>45027</v>
      </c>
      <c r="F113" s="17">
        <v>30</v>
      </c>
      <c r="G113" s="19">
        <f>IF(FEBRERO[[#This Row],[Dias a vencer]]="","",E113+F113)</f>
        <v>45057</v>
      </c>
      <c r="H113" s="17" t="str">
        <f t="shared" ca="1" si="6"/>
        <v>Faltan 6 dias</v>
      </c>
      <c r="I113" s="17" t="s">
        <v>16</v>
      </c>
      <c r="J113" s="20">
        <v>20</v>
      </c>
      <c r="K113" s="17">
        <f t="shared" ca="1" si="7"/>
        <v>6</v>
      </c>
      <c r="L113" s="17">
        <v>2</v>
      </c>
      <c r="M113" s="17"/>
    </row>
    <row r="114" spans="2:13" x14ac:dyDescent="0.3">
      <c r="B114" s="10">
        <f>ROW()-ROW(FEBRERO[[#Headers],[No]])</f>
        <v>109</v>
      </c>
      <c r="C114" s="10" t="s">
        <v>160</v>
      </c>
      <c r="D114" s="11" t="s">
        <v>15</v>
      </c>
      <c r="E114" s="12">
        <v>45027</v>
      </c>
      <c r="F114" s="17">
        <v>30</v>
      </c>
      <c r="G114" s="12">
        <f>IF(FEBRERO[[#This Row],[Dias a vencer]]="","",E114+F114)</f>
        <v>45057</v>
      </c>
      <c r="H114" s="10" t="str">
        <f t="shared" ca="1" si="6"/>
        <v>Faltan 6 dias</v>
      </c>
      <c r="I114" s="17" t="s">
        <v>13</v>
      </c>
      <c r="J114" s="20"/>
      <c r="K114" s="10">
        <f t="shared" ca="1" si="7"/>
        <v>6</v>
      </c>
      <c r="L114" s="10"/>
      <c r="M114" s="10"/>
    </row>
    <row r="115" spans="2:13" x14ac:dyDescent="0.3">
      <c r="B115" s="10">
        <f>ROW()-ROW(FEBRERO[[#Headers],[No]])</f>
        <v>110</v>
      </c>
      <c r="C115" s="10" t="s">
        <v>177</v>
      </c>
      <c r="D115" s="11" t="s">
        <v>58</v>
      </c>
      <c r="E115" s="12">
        <v>45027</v>
      </c>
      <c r="F115" s="17">
        <v>30</v>
      </c>
      <c r="G115" s="12">
        <f>IF(FEBRERO[[#This Row],[Dias a vencer]]="","",E115+F115)</f>
        <v>45057</v>
      </c>
      <c r="H115" s="10" t="str">
        <f t="shared" ca="1" si="6"/>
        <v>Faltan 6 dias</v>
      </c>
      <c r="I115" s="17" t="s">
        <v>13</v>
      </c>
      <c r="J115" s="20"/>
      <c r="K115" s="10">
        <f t="shared" ca="1" si="7"/>
        <v>6</v>
      </c>
      <c r="L115" s="10"/>
      <c r="M115" s="10"/>
    </row>
    <row r="116" spans="2:13" x14ac:dyDescent="0.3">
      <c r="B116" s="10">
        <f>ROW()-ROW(FEBRERO[[#Headers],[No]])</f>
        <v>111</v>
      </c>
      <c r="C116" s="10" t="s">
        <v>128</v>
      </c>
      <c r="D116" s="11" t="s">
        <v>129</v>
      </c>
      <c r="E116" s="12">
        <v>45029</v>
      </c>
      <c r="F116" s="17">
        <v>30</v>
      </c>
      <c r="G116" s="12">
        <f>IF(FEBRERO[[#This Row],[Dias a vencer]]="","",E116+F116)</f>
        <v>45059</v>
      </c>
      <c r="H116" s="10" t="str">
        <f t="shared" ca="1" si="6"/>
        <v>Faltan 8 dias</v>
      </c>
      <c r="I116" s="17" t="s">
        <v>16</v>
      </c>
      <c r="J116" s="20">
        <v>20</v>
      </c>
      <c r="K116" s="10">
        <f t="shared" ca="1" si="7"/>
        <v>8</v>
      </c>
      <c r="L116" s="10"/>
      <c r="M116" s="10"/>
    </row>
    <row r="117" spans="2:13" x14ac:dyDescent="0.3">
      <c r="B117" s="10">
        <f>ROW()-ROW(FEBRERO[[#Headers],[No]])</f>
        <v>112</v>
      </c>
      <c r="C117" s="10" t="s">
        <v>85</v>
      </c>
      <c r="D117" s="16" t="s">
        <v>105</v>
      </c>
      <c r="E117" s="12">
        <v>45030</v>
      </c>
      <c r="F117" s="17">
        <v>30</v>
      </c>
      <c r="G117" s="12">
        <f>IF(FEBRERO[[#This Row],[Dias a vencer]]="","",E117+F117)</f>
        <v>45060</v>
      </c>
      <c r="H117" s="10" t="str">
        <f t="shared" ca="1" si="6"/>
        <v>Faltan 9 dias</v>
      </c>
      <c r="I117" s="17" t="s">
        <v>16</v>
      </c>
      <c r="J117" s="20">
        <v>20</v>
      </c>
      <c r="K117" s="10">
        <f t="shared" ca="1" si="7"/>
        <v>9</v>
      </c>
      <c r="L117" s="10">
        <v>2</v>
      </c>
      <c r="M117" s="10"/>
    </row>
    <row r="118" spans="2:13" x14ac:dyDescent="0.3">
      <c r="B118" s="17">
        <f>ROW()-ROW(FEBRERO[[#Headers],[No]])</f>
        <v>113</v>
      </c>
      <c r="C118" s="17" t="s">
        <v>87</v>
      </c>
      <c r="D118" s="18" t="s">
        <v>88</v>
      </c>
      <c r="E118" s="19">
        <v>45031</v>
      </c>
      <c r="F118" s="17">
        <v>30</v>
      </c>
      <c r="G118" s="19">
        <f>IF(FEBRERO[[#This Row],[Dias a vencer]]="","",E118+F118)</f>
        <v>45061</v>
      </c>
      <c r="H118" s="17" t="str">
        <f t="shared" ca="1" si="6"/>
        <v>Faltan 10 dias</v>
      </c>
      <c r="I118" s="17" t="s">
        <v>13</v>
      </c>
      <c r="J118" s="20">
        <v>20</v>
      </c>
      <c r="K118" s="17">
        <f t="shared" ca="1" si="7"/>
        <v>10</v>
      </c>
      <c r="L118" s="17">
        <v>2</v>
      </c>
      <c r="M118" s="17"/>
    </row>
    <row r="119" spans="2:13" x14ac:dyDescent="0.3">
      <c r="B119" s="17">
        <f>ROW()-ROW(FEBRERO[[#Headers],[No]])</f>
        <v>114</v>
      </c>
      <c r="C119" s="23" t="s">
        <v>154</v>
      </c>
      <c r="D119" s="11"/>
      <c r="E119" s="19">
        <v>45031</v>
      </c>
      <c r="F119" s="17">
        <v>30</v>
      </c>
      <c r="G119" s="19">
        <f>IF(FEBRERO[[#This Row],[Dias a vencer]]="","",E119+F119)</f>
        <v>45061</v>
      </c>
      <c r="H119" s="17" t="str">
        <f t="shared" ca="1" si="6"/>
        <v>Faltan 10 dias</v>
      </c>
      <c r="I119" s="17" t="s">
        <v>13</v>
      </c>
      <c r="J119" s="20"/>
      <c r="K119" s="17">
        <f t="shared" ca="1" si="7"/>
        <v>10</v>
      </c>
      <c r="L119" s="17"/>
      <c r="M119" s="17"/>
    </row>
    <row r="120" spans="2:13" x14ac:dyDescent="0.3">
      <c r="B120" s="17">
        <f>ROW()-ROW(FEBRERO[[#Headers],[No]])</f>
        <v>115</v>
      </c>
      <c r="C120" s="17" t="s">
        <v>171</v>
      </c>
      <c r="D120" s="11" t="s">
        <v>50</v>
      </c>
      <c r="E120" s="12">
        <v>45031</v>
      </c>
      <c r="F120" s="17">
        <v>30</v>
      </c>
      <c r="G120" s="19">
        <f>IF(FEBRERO[[#This Row],[Dias a vencer]]="","",E120+F120)</f>
        <v>45061</v>
      </c>
      <c r="H120" s="17" t="str">
        <f t="shared" ca="1" si="6"/>
        <v>Faltan 10 dias</v>
      </c>
      <c r="I120" s="17" t="s">
        <v>13</v>
      </c>
      <c r="J120" s="20"/>
      <c r="K120" s="17">
        <f t="shared" ca="1" si="7"/>
        <v>10</v>
      </c>
      <c r="L120" s="17"/>
      <c r="M120" s="17"/>
    </row>
    <row r="121" spans="2:13" x14ac:dyDescent="0.3">
      <c r="B121" s="17">
        <f>ROW()-ROW(FEBRERO[[#Headers],[No]])</f>
        <v>116</v>
      </c>
      <c r="C121" s="17" t="s">
        <v>90</v>
      </c>
      <c r="D121" s="11" t="s">
        <v>91</v>
      </c>
      <c r="E121" s="12">
        <v>45032</v>
      </c>
      <c r="F121" s="17">
        <v>30</v>
      </c>
      <c r="G121" s="19">
        <f>IF(FEBRERO[[#This Row],[Dias a vencer]]="","",E121+F121)</f>
        <v>45062</v>
      </c>
      <c r="H121" s="17" t="str">
        <f t="shared" ca="1" si="6"/>
        <v>Faltan 11 dias</v>
      </c>
      <c r="I121" s="17" t="s">
        <v>16</v>
      </c>
      <c r="J121" s="20">
        <v>20</v>
      </c>
      <c r="K121" s="17">
        <f t="shared" ca="1" si="7"/>
        <v>11</v>
      </c>
      <c r="L121" s="17">
        <v>2</v>
      </c>
      <c r="M121" s="17"/>
    </row>
    <row r="122" spans="2:13" x14ac:dyDescent="0.3">
      <c r="B122" s="17">
        <f>ROW()-ROW(FEBRERO[[#Headers],[No]])</f>
        <v>117</v>
      </c>
      <c r="C122" s="23" t="s">
        <v>155</v>
      </c>
      <c r="D122" s="11"/>
      <c r="E122" s="12">
        <v>45032</v>
      </c>
      <c r="F122" s="17">
        <v>30</v>
      </c>
      <c r="G122" s="19">
        <f>IF(FEBRERO[[#This Row],[Dias a vencer]]="","",E122+F122)</f>
        <v>45062</v>
      </c>
      <c r="H122" s="17" t="str">
        <f t="shared" ca="1" si="6"/>
        <v>Faltan 11 dias</v>
      </c>
      <c r="I122" s="17" t="s">
        <v>13</v>
      </c>
      <c r="J122" s="20"/>
      <c r="K122" s="17">
        <f t="shared" ca="1" si="7"/>
        <v>11</v>
      </c>
      <c r="L122" s="17"/>
      <c r="M122" s="17"/>
    </row>
    <row r="123" spans="2:13" x14ac:dyDescent="0.3">
      <c r="B123" s="17">
        <f>ROW()-ROW(FEBRERO[[#Headers],[No]])</f>
        <v>118</v>
      </c>
      <c r="C123" s="17" t="s">
        <v>172</v>
      </c>
      <c r="D123" s="11" t="s">
        <v>121</v>
      </c>
      <c r="E123" s="12">
        <v>45032</v>
      </c>
      <c r="F123" s="17">
        <v>30</v>
      </c>
      <c r="G123" s="19">
        <f>IF(FEBRERO[[#This Row],[Dias a vencer]]="","",E123+F123)</f>
        <v>45062</v>
      </c>
      <c r="H123" s="17" t="str">
        <f t="shared" ca="1" si="6"/>
        <v>Faltan 11 dias</v>
      </c>
      <c r="I123" s="17" t="s">
        <v>16</v>
      </c>
      <c r="J123" s="20"/>
      <c r="K123" s="17">
        <f t="shared" ca="1" si="7"/>
        <v>11</v>
      </c>
      <c r="L123" s="17"/>
      <c r="M123" s="17"/>
    </row>
    <row r="124" spans="2:13" x14ac:dyDescent="0.3">
      <c r="B124" s="17">
        <f>ROW()-ROW(FEBRERO[[#Headers],[No]])</f>
        <v>119</v>
      </c>
      <c r="C124" s="17" t="s">
        <v>130</v>
      </c>
      <c r="D124" s="11" t="s">
        <v>131</v>
      </c>
      <c r="E124" s="12">
        <v>45040</v>
      </c>
      <c r="F124" s="17">
        <v>30</v>
      </c>
      <c r="G124" s="19">
        <f>IF(FEBRERO[[#This Row],[Dias a vencer]]="","",E124+F124)</f>
        <v>45070</v>
      </c>
      <c r="H124" s="17" t="str">
        <f t="shared" ca="1" si="6"/>
        <v>Faltan 19 dias</v>
      </c>
      <c r="I124" s="17" t="s">
        <v>16</v>
      </c>
      <c r="J124" s="20">
        <v>20</v>
      </c>
      <c r="K124" s="17">
        <f t="shared" ca="1" si="7"/>
        <v>19</v>
      </c>
      <c r="L124" s="17"/>
      <c r="M124" s="17"/>
    </row>
    <row r="125" spans="2:13" x14ac:dyDescent="0.3">
      <c r="B125" s="17">
        <f>ROW()-ROW(FEBRERO[[#Headers],[No]])</f>
        <v>120</v>
      </c>
      <c r="C125" s="17" t="s">
        <v>132</v>
      </c>
      <c r="D125" s="11" t="s">
        <v>133</v>
      </c>
      <c r="E125" s="12">
        <v>45040</v>
      </c>
      <c r="F125" s="17">
        <v>30</v>
      </c>
      <c r="G125" s="19">
        <f>IF(FEBRERO[[#This Row],[Dias a vencer]]="","",E125+F125)</f>
        <v>45070</v>
      </c>
      <c r="H125" s="17" t="str">
        <f t="shared" ca="1" si="6"/>
        <v>Faltan 19 dias</v>
      </c>
      <c r="I125" s="17" t="s">
        <v>16</v>
      </c>
      <c r="J125" s="20">
        <v>20</v>
      </c>
      <c r="K125" s="17">
        <f t="shared" ca="1" si="7"/>
        <v>19</v>
      </c>
      <c r="L125" s="17"/>
      <c r="M125" s="17"/>
    </row>
    <row r="126" spans="2:13" x14ac:dyDescent="0.3">
      <c r="B126" s="17">
        <f>ROW()-ROW(FEBRERO[[#Headers],[No]])</f>
        <v>121</v>
      </c>
      <c r="C126" s="17" t="s">
        <v>134</v>
      </c>
      <c r="D126" s="11" t="s">
        <v>135</v>
      </c>
      <c r="E126" s="12">
        <v>45040</v>
      </c>
      <c r="F126" s="17">
        <v>30</v>
      </c>
      <c r="G126" s="19">
        <f>IF(FEBRERO[[#This Row],[Dias a vencer]]="","",E126+F126)</f>
        <v>45070</v>
      </c>
      <c r="H126" s="17" t="str">
        <f t="shared" ca="1" si="6"/>
        <v>Faltan 19 dias</v>
      </c>
      <c r="I126" s="17" t="s">
        <v>16</v>
      </c>
      <c r="J126" s="20">
        <v>20</v>
      </c>
      <c r="K126" s="17">
        <f t="shared" ca="1" si="7"/>
        <v>19</v>
      </c>
      <c r="L126" s="17"/>
      <c r="M126" s="17"/>
    </row>
    <row r="127" spans="2:13" x14ac:dyDescent="0.3">
      <c r="B127" s="17">
        <f>ROW()-ROW(FEBRERO[[#Headers],[No]])</f>
        <v>122</v>
      </c>
      <c r="C127" s="17" t="s">
        <v>97</v>
      </c>
      <c r="D127" s="11" t="s">
        <v>98</v>
      </c>
      <c r="E127" s="19">
        <v>45040</v>
      </c>
      <c r="F127" s="17">
        <v>30</v>
      </c>
      <c r="G127" s="19">
        <f>IF(FEBRERO[[#This Row],[Dias a vencer]]="","",E127+F127)</f>
        <v>45070</v>
      </c>
      <c r="H127" s="17" t="str">
        <f t="shared" ca="1" si="6"/>
        <v>Faltan 19 dias</v>
      </c>
      <c r="I127" s="17" t="s">
        <v>16</v>
      </c>
      <c r="J127" s="20">
        <v>17.5</v>
      </c>
      <c r="K127" s="17">
        <f t="shared" ca="1" si="7"/>
        <v>19</v>
      </c>
      <c r="L127" s="17">
        <v>2</v>
      </c>
      <c r="M127" s="17"/>
    </row>
    <row r="128" spans="2:13" x14ac:dyDescent="0.3">
      <c r="B128" s="17">
        <f>ROW()-ROW(FEBRERO[[#Headers],[No]])</f>
        <v>123</v>
      </c>
      <c r="C128" s="17" t="s">
        <v>99</v>
      </c>
      <c r="D128" s="11"/>
      <c r="E128" s="19">
        <v>45040</v>
      </c>
      <c r="F128" s="17">
        <v>30</v>
      </c>
      <c r="G128" s="19">
        <f>IF(FEBRERO[[#This Row],[Dias a vencer]]="","",E128+F128)</f>
        <v>45070</v>
      </c>
      <c r="H128" s="17" t="str">
        <f t="shared" ca="1" si="6"/>
        <v>Faltan 19 dias</v>
      </c>
      <c r="I128" s="17" t="s">
        <v>16</v>
      </c>
      <c r="J128" s="20">
        <v>17.5</v>
      </c>
      <c r="K128" s="17">
        <f t="shared" ca="1" si="7"/>
        <v>19</v>
      </c>
      <c r="L128" s="17">
        <v>2</v>
      </c>
      <c r="M128" s="17"/>
    </row>
    <row r="129" spans="2:13" x14ac:dyDescent="0.3">
      <c r="B129" s="17">
        <f>ROW()-ROW(FEBRERO[[#Headers],[No]])</f>
        <v>124</v>
      </c>
      <c r="C129" s="17" t="s">
        <v>156</v>
      </c>
      <c r="D129" s="11"/>
      <c r="E129" s="19">
        <v>45040</v>
      </c>
      <c r="F129" s="17">
        <v>30</v>
      </c>
      <c r="G129" s="19">
        <f>IF(FEBRERO[[#This Row],[Dias a vencer]]="","",E129+F129)</f>
        <v>45070</v>
      </c>
      <c r="H129" s="17" t="str">
        <f t="shared" ca="1" si="6"/>
        <v>Faltan 19 dias</v>
      </c>
      <c r="I129" s="17" t="s">
        <v>16</v>
      </c>
      <c r="J129" s="20">
        <v>20</v>
      </c>
      <c r="K129" s="17">
        <f t="shared" ca="1" si="7"/>
        <v>19</v>
      </c>
      <c r="L129" s="17">
        <v>2</v>
      </c>
      <c r="M129" s="17"/>
    </row>
    <row r="130" spans="2:13" x14ac:dyDescent="0.3">
      <c r="B130" s="17">
        <f>ROW()-ROW(FEBRERO[[#Headers],[No]])</f>
        <v>125</v>
      </c>
      <c r="C130" s="17" t="s">
        <v>157</v>
      </c>
      <c r="D130" s="11" t="s">
        <v>96</v>
      </c>
      <c r="E130" s="19">
        <v>45040</v>
      </c>
      <c r="F130" s="17">
        <v>30</v>
      </c>
      <c r="G130" s="19">
        <f>IF(FEBRERO[[#This Row],[Dias a vencer]]="","",E130+F130)</f>
        <v>45070</v>
      </c>
      <c r="H130" s="17" t="str">
        <f t="shared" ca="1" si="6"/>
        <v>Faltan 19 dias</v>
      </c>
      <c r="I130" s="17" t="s">
        <v>16</v>
      </c>
      <c r="J130" s="20">
        <v>20</v>
      </c>
      <c r="K130" s="17">
        <f t="shared" ca="1" si="7"/>
        <v>19</v>
      </c>
      <c r="L130" s="17"/>
      <c r="M130" s="17"/>
    </row>
    <row r="131" spans="2:13" x14ac:dyDescent="0.3">
      <c r="B131" s="17">
        <f>ROW()-ROW(FEBRERO[[#Headers],[No]])</f>
        <v>126</v>
      </c>
      <c r="C131" s="17" t="s">
        <v>158</v>
      </c>
      <c r="D131" s="11" t="s">
        <v>98</v>
      </c>
      <c r="E131" s="19">
        <v>45040</v>
      </c>
      <c r="F131" s="17">
        <v>30</v>
      </c>
      <c r="G131" s="19">
        <f>IF(FEBRERO[[#This Row],[Dias a vencer]]="","",E131+F131)</f>
        <v>45070</v>
      </c>
      <c r="H131" s="17" t="str">
        <f t="shared" ca="1" si="6"/>
        <v>Faltan 19 dias</v>
      </c>
      <c r="I131" s="17" t="s">
        <v>16</v>
      </c>
      <c r="J131" s="20">
        <v>20</v>
      </c>
      <c r="K131" s="17">
        <f t="shared" ca="1" si="7"/>
        <v>19</v>
      </c>
      <c r="L131" s="17"/>
      <c r="M131" s="17"/>
    </row>
    <row r="132" spans="2:13" x14ac:dyDescent="0.3">
      <c r="B132" s="17">
        <f>ROW()-ROW(FEBRERO[[#Headers],[No]])</f>
        <v>127</v>
      </c>
      <c r="C132" s="17" t="s">
        <v>173</v>
      </c>
      <c r="D132" s="18" t="s">
        <v>123</v>
      </c>
      <c r="E132" s="19">
        <v>45040</v>
      </c>
      <c r="F132" s="17">
        <v>30</v>
      </c>
      <c r="G132" s="19">
        <f>IF(FEBRERO[[#This Row],[Dias a vencer]]="","",E132+F132)</f>
        <v>45070</v>
      </c>
      <c r="H132" s="17" t="str">
        <f t="shared" ca="1" si="6"/>
        <v>Faltan 19 dias</v>
      </c>
      <c r="I132" s="17" t="s">
        <v>16</v>
      </c>
      <c r="J132" s="20">
        <v>20</v>
      </c>
      <c r="K132" s="17">
        <f t="shared" ca="1" si="7"/>
        <v>19</v>
      </c>
      <c r="L132" s="17">
        <v>3</v>
      </c>
      <c r="M132" s="17"/>
    </row>
    <row r="133" spans="2:13" x14ac:dyDescent="0.3">
      <c r="B133" s="17">
        <f>ROW()-ROW(FEBRERO[[#Headers],[No]])</f>
        <v>128</v>
      </c>
      <c r="C133" s="17" t="s">
        <v>174</v>
      </c>
      <c r="D133" s="11" t="s">
        <v>125</v>
      </c>
      <c r="E133" s="19">
        <v>45040</v>
      </c>
      <c r="F133" s="17">
        <v>30</v>
      </c>
      <c r="G133" s="19">
        <f>IF(FEBRERO[[#This Row],[Dias a vencer]]="","",E133+F133)</f>
        <v>45070</v>
      </c>
      <c r="H133" s="17" t="str">
        <f t="shared" ca="1" si="6"/>
        <v>Faltan 19 dias</v>
      </c>
      <c r="I133" s="17" t="s">
        <v>13</v>
      </c>
      <c r="J133" s="20">
        <v>20</v>
      </c>
      <c r="K133" s="17">
        <f t="shared" ca="1" si="7"/>
        <v>19</v>
      </c>
      <c r="L133" s="17"/>
      <c r="M133" s="17"/>
    </row>
    <row r="134" spans="2:13" x14ac:dyDescent="0.3">
      <c r="B134" s="17">
        <f>ROW()-ROW(FEBRERO[[#Headers],[No]])</f>
        <v>129</v>
      </c>
      <c r="C134" s="17" t="s">
        <v>175</v>
      </c>
      <c r="D134" s="11" t="s">
        <v>62</v>
      </c>
      <c r="E134" s="19">
        <v>45040</v>
      </c>
      <c r="F134" s="17">
        <v>30</v>
      </c>
      <c r="G134" s="19">
        <f>IF(FEBRERO[[#This Row],[Dias a vencer]]="","",E134+F134)</f>
        <v>45070</v>
      </c>
      <c r="H134" s="17" t="str">
        <f t="shared" ref="H134:H166" ca="1" si="8">IF(K134&lt;0,"Vencido hace"&amp;K134*-1&amp;" dias",IF(K134=0,"Vence hoy",IF(K134&lt;4,"Tiene "&amp;K134&amp;" dias","Faltan "&amp;K134&amp;" dias")))</f>
        <v>Faltan 19 dias</v>
      </c>
      <c r="I134" s="17" t="s">
        <v>13</v>
      </c>
      <c r="J134" s="20">
        <v>20</v>
      </c>
      <c r="K134" s="17">
        <f t="shared" ref="K134:K166" ca="1" si="9">G134-$B$4</f>
        <v>19</v>
      </c>
      <c r="L134" s="17"/>
      <c r="M134" s="17"/>
    </row>
    <row r="135" spans="2:13" x14ac:dyDescent="0.3">
      <c r="B135" s="17">
        <f>ROW()-ROW(FEBRERO[[#Headers],[No]])</f>
        <v>130</v>
      </c>
      <c r="C135" s="17" t="s">
        <v>188</v>
      </c>
      <c r="D135" s="11" t="s">
        <v>74</v>
      </c>
      <c r="E135" s="19">
        <v>45040</v>
      </c>
      <c r="F135" s="17">
        <v>30</v>
      </c>
      <c r="G135" s="19">
        <f>IF(FEBRERO[[#This Row],[Dias a vencer]]="","",E135+F135)</f>
        <v>45070</v>
      </c>
      <c r="H135" s="17" t="str">
        <f t="shared" ca="1" si="8"/>
        <v>Faltan 19 dias</v>
      </c>
      <c r="I135" s="17" t="s">
        <v>13</v>
      </c>
      <c r="J135" s="20">
        <v>20</v>
      </c>
      <c r="K135" s="17">
        <f t="shared" ca="1" si="9"/>
        <v>19</v>
      </c>
      <c r="L135" s="17"/>
      <c r="M135" s="17"/>
    </row>
    <row r="136" spans="2:13" x14ac:dyDescent="0.3">
      <c r="B136" s="17">
        <f>ROW()-ROW(FEBRERO[[#Headers],[No]])</f>
        <v>131</v>
      </c>
      <c r="C136" s="17" t="s">
        <v>136</v>
      </c>
      <c r="D136" s="22" t="s">
        <v>137</v>
      </c>
      <c r="E136" s="19">
        <v>45043</v>
      </c>
      <c r="F136" s="17">
        <v>30</v>
      </c>
      <c r="G136" s="19">
        <f>IF(FEBRERO[[#This Row],[Dias a vencer]]="","",E136+F136)</f>
        <v>45073</v>
      </c>
      <c r="H136" s="17" t="str">
        <f t="shared" ca="1" si="8"/>
        <v>Faltan 22 dias</v>
      </c>
      <c r="I136" s="17" t="s">
        <v>16</v>
      </c>
      <c r="J136" s="20">
        <v>20</v>
      </c>
      <c r="K136" s="17">
        <f t="shared" ca="1" si="9"/>
        <v>22</v>
      </c>
      <c r="L136" s="17"/>
      <c r="M136" s="17"/>
    </row>
    <row r="137" spans="2:13" x14ac:dyDescent="0.3">
      <c r="B137" s="17">
        <f>ROW()-ROW(FEBRERO[[#Headers],[No]])</f>
        <v>132</v>
      </c>
      <c r="C137" s="17" t="s">
        <v>106</v>
      </c>
      <c r="D137" s="11" t="s">
        <v>58</v>
      </c>
      <c r="E137" s="12">
        <v>45043</v>
      </c>
      <c r="F137" s="17">
        <v>30</v>
      </c>
      <c r="G137" s="19">
        <f>IF(FEBRERO[[#This Row],[Dias a vencer]]="","",E137+F137)</f>
        <v>45073</v>
      </c>
      <c r="H137" s="17" t="str">
        <f t="shared" ca="1" si="8"/>
        <v>Faltan 22 dias</v>
      </c>
      <c r="I137" s="17" t="s">
        <v>16</v>
      </c>
      <c r="J137" s="20">
        <v>20</v>
      </c>
      <c r="K137" s="17">
        <f t="shared" ca="1" si="9"/>
        <v>22</v>
      </c>
      <c r="L137" s="17">
        <v>2</v>
      </c>
      <c r="M137" s="17"/>
    </row>
    <row r="138" spans="2:13" x14ac:dyDescent="0.3">
      <c r="B138" s="17">
        <f>ROW()-ROW(FEBRERO[[#Headers],[No]])</f>
        <v>133</v>
      </c>
      <c r="C138" s="17" t="s">
        <v>189</v>
      </c>
      <c r="D138" s="11" t="s">
        <v>116</v>
      </c>
      <c r="E138" s="12">
        <v>45043</v>
      </c>
      <c r="F138" s="17">
        <v>30</v>
      </c>
      <c r="G138" s="19">
        <f>IF(FEBRERO[[#This Row],[Dias a vencer]]="","",E138+F138)</f>
        <v>45073</v>
      </c>
      <c r="H138" s="17" t="str">
        <f t="shared" ca="1" si="8"/>
        <v>Faltan 22 dias</v>
      </c>
      <c r="I138" s="17" t="s">
        <v>13</v>
      </c>
      <c r="J138" s="20">
        <v>20</v>
      </c>
      <c r="K138" s="17">
        <f t="shared" ca="1" si="9"/>
        <v>22</v>
      </c>
      <c r="L138" s="17"/>
      <c r="M138" s="17"/>
    </row>
    <row r="139" spans="2:13" x14ac:dyDescent="0.3">
      <c r="B139" s="17">
        <f>ROW()-ROW(FEBRERO[[#Headers],[No]])</f>
        <v>134</v>
      </c>
      <c r="C139" s="17" t="s">
        <v>190</v>
      </c>
      <c r="D139" s="11" t="s">
        <v>118</v>
      </c>
      <c r="E139" s="12">
        <v>45043</v>
      </c>
      <c r="F139" s="17">
        <v>30</v>
      </c>
      <c r="G139" s="19">
        <f>IF(FEBRERO[[#This Row],[Dias a vencer]]="","",E139+F139)</f>
        <v>45073</v>
      </c>
      <c r="H139" s="17" t="str">
        <f t="shared" ca="1" si="8"/>
        <v>Faltan 22 dias</v>
      </c>
      <c r="I139" s="17" t="s">
        <v>16</v>
      </c>
      <c r="J139" s="20">
        <v>20</v>
      </c>
      <c r="K139" s="17">
        <f t="shared" ca="1" si="9"/>
        <v>22</v>
      </c>
      <c r="L139" s="17"/>
      <c r="M139" s="17"/>
    </row>
    <row r="140" spans="2:13" x14ac:dyDescent="0.3">
      <c r="B140" s="17">
        <f>ROW()-ROW(FEBRERO[[#Headers],[No]])</f>
        <v>135</v>
      </c>
      <c r="C140" s="17" t="s">
        <v>28</v>
      </c>
      <c r="D140" s="11" t="s">
        <v>29</v>
      </c>
      <c r="E140" s="12">
        <v>45044</v>
      </c>
      <c r="F140" s="17">
        <v>30</v>
      </c>
      <c r="G140" s="19">
        <f>IF(FEBRERO[[#This Row],[Dias a vencer]]="","",E140+F140)</f>
        <v>45074</v>
      </c>
      <c r="H140" s="17" t="str">
        <f t="shared" ca="1" si="8"/>
        <v>Faltan 23 dias</v>
      </c>
      <c r="I140" s="17" t="s">
        <v>16</v>
      </c>
      <c r="J140" s="20">
        <v>20</v>
      </c>
      <c r="K140" s="17">
        <f t="shared" ca="1" si="9"/>
        <v>23</v>
      </c>
      <c r="L140" s="17">
        <v>3</v>
      </c>
      <c r="M140" s="17"/>
    </row>
    <row r="141" spans="2:13" x14ac:dyDescent="0.3">
      <c r="B141" s="17">
        <f>ROW()-ROW(FEBRERO[[#Headers],[No]])</f>
        <v>136</v>
      </c>
      <c r="C141" s="17" t="s">
        <v>30</v>
      </c>
      <c r="D141" s="11"/>
      <c r="E141" s="12">
        <v>45044</v>
      </c>
      <c r="F141" s="17">
        <v>30</v>
      </c>
      <c r="G141" s="19">
        <f>IF(FEBRERO[[#This Row],[Dias a vencer]]="","",E141+F141)</f>
        <v>45074</v>
      </c>
      <c r="H141" s="17" t="str">
        <f t="shared" ca="1" si="8"/>
        <v>Faltan 23 dias</v>
      </c>
      <c r="I141" s="17" t="s">
        <v>16</v>
      </c>
      <c r="J141" s="20">
        <v>20</v>
      </c>
      <c r="K141" s="17">
        <f t="shared" ca="1" si="9"/>
        <v>23</v>
      </c>
      <c r="L141" s="17">
        <v>3</v>
      </c>
      <c r="M141" s="17"/>
    </row>
    <row r="142" spans="2:13" x14ac:dyDescent="0.3">
      <c r="B142" s="17">
        <f>ROW()-ROW(FEBRERO[[#Headers],[No]])</f>
        <v>137</v>
      </c>
      <c r="C142" s="17" t="s">
        <v>191</v>
      </c>
      <c r="D142" s="11" t="s">
        <v>50</v>
      </c>
      <c r="E142" s="12">
        <v>45044</v>
      </c>
      <c r="F142" s="17">
        <v>30</v>
      </c>
      <c r="G142" s="19">
        <f>IF(FEBRERO[[#This Row],[Dias a vencer]]="","",E142+F142)</f>
        <v>45074</v>
      </c>
      <c r="H142" s="17" t="str">
        <f t="shared" ca="1" si="8"/>
        <v>Faltan 23 dias</v>
      </c>
      <c r="I142" s="17" t="s">
        <v>13</v>
      </c>
      <c r="J142" s="20">
        <v>20</v>
      </c>
      <c r="K142" s="17">
        <f t="shared" ca="1" si="9"/>
        <v>23</v>
      </c>
      <c r="L142" s="17"/>
      <c r="M142" s="17"/>
    </row>
    <row r="143" spans="2:13" x14ac:dyDescent="0.3">
      <c r="B143" s="17">
        <f>ROW()-ROW(FEBRERO[[#Headers],[No]])</f>
        <v>138</v>
      </c>
      <c r="C143" s="10" t="s">
        <v>184</v>
      </c>
      <c r="D143" s="11" t="s">
        <v>121</v>
      </c>
      <c r="E143" s="12">
        <v>45044</v>
      </c>
      <c r="F143" s="17">
        <v>30</v>
      </c>
      <c r="G143" s="19">
        <f>IF(FEBRERO[[#This Row],[Dias a vencer]]="","",E143+F143)</f>
        <v>45074</v>
      </c>
      <c r="H143" s="17" t="str">
        <f t="shared" ca="1" si="8"/>
        <v>Faltan 23 dias</v>
      </c>
      <c r="I143" s="17" t="s">
        <v>16</v>
      </c>
      <c r="J143" s="20">
        <v>20</v>
      </c>
      <c r="K143" s="17">
        <f t="shared" ca="1" si="9"/>
        <v>23</v>
      </c>
      <c r="L143" s="17">
        <v>2</v>
      </c>
      <c r="M143" s="17"/>
    </row>
    <row r="144" spans="2:13" x14ac:dyDescent="0.3">
      <c r="B144" s="17">
        <f>ROW()-ROW(FEBRERO[[#Headers],[No]])</f>
        <v>139</v>
      </c>
      <c r="C144" s="17" t="s">
        <v>138</v>
      </c>
      <c r="D144" s="11" t="s">
        <v>139</v>
      </c>
      <c r="E144" s="19">
        <v>45045</v>
      </c>
      <c r="F144" s="17">
        <v>30</v>
      </c>
      <c r="G144" s="19">
        <f>IF(FEBRERO[[#This Row],[Dias a vencer]]="","",E144+F144)</f>
        <v>45075</v>
      </c>
      <c r="H144" s="17" t="str">
        <f t="shared" ca="1" si="8"/>
        <v>Faltan 24 dias</v>
      </c>
      <c r="I144" s="17" t="s">
        <v>16</v>
      </c>
      <c r="J144" s="20">
        <v>20</v>
      </c>
      <c r="K144" s="17">
        <f t="shared" ca="1" si="9"/>
        <v>24</v>
      </c>
      <c r="L144" s="17"/>
      <c r="M144" s="17"/>
    </row>
    <row r="145" spans="2:13" x14ac:dyDescent="0.3">
      <c r="B145" s="17">
        <f>ROW()-ROW(FEBRERO[[#Headers],[No]])</f>
        <v>140</v>
      </c>
      <c r="C145" s="17" t="s">
        <v>192</v>
      </c>
      <c r="D145" s="11" t="s">
        <v>123</v>
      </c>
      <c r="E145" s="19">
        <v>45045</v>
      </c>
      <c r="F145" s="17">
        <v>30</v>
      </c>
      <c r="G145" s="19">
        <f>IF(FEBRERO[[#This Row],[Dias a vencer]]="","",E145+F145)</f>
        <v>45075</v>
      </c>
      <c r="H145" s="17" t="str">
        <f t="shared" ca="1" si="8"/>
        <v>Faltan 24 dias</v>
      </c>
      <c r="I145" s="17" t="s">
        <v>16</v>
      </c>
      <c r="J145" s="20">
        <v>20</v>
      </c>
      <c r="K145" s="17">
        <f t="shared" ca="1" si="9"/>
        <v>24</v>
      </c>
      <c r="L145" s="17"/>
      <c r="M145" s="17"/>
    </row>
    <row r="146" spans="2:13" x14ac:dyDescent="0.3">
      <c r="B146" s="17">
        <f>ROW()-ROW(FEBRERO[[#Headers],[No]])</f>
        <v>141</v>
      </c>
      <c r="C146" s="17" t="s">
        <v>185</v>
      </c>
      <c r="D146" s="18" t="s">
        <v>147</v>
      </c>
      <c r="E146" s="19">
        <v>45047</v>
      </c>
      <c r="F146" s="17">
        <v>31</v>
      </c>
      <c r="G146" s="19">
        <f>IF(FEBRERO[[#This Row],[Dias a vencer]]="","",E146+F146)</f>
        <v>45078</v>
      </c>
      <c r="H146" s="17" t="str">
        <f t="shared" ca="1" si="8"/>
        <v>Faltan 27 dias</v>
      </c>
      <c r="I146" s="17" t="s">
        <v>16</v>
      </c>
      <c r="J146" s="20">
        <v>20</v>
      </c>
      <c r="K146" s="17">
        <f t="shared" ca="1" si="9"/>
        <v>27</v>
      </c>
      <c r="L146" s="17"/>
      <c r="M146" s="17"/>
    </row>
    <row r="147" spans="2:13" x14ac:dyDescent="0.3">
      <c r="B147" s="17">
        <f>ROW()-ROW(FEBRERO[[#Headers],[No]])</f>
        <v>142</v>
      </c>
      <c r="C147" s="17" t="s">
        <v>194</v>
      </c>
      <c r="D147" s="11" t="s">
        <v>62</v>
      </c>
      <c r="E147" s="19">
        <v>45047</v>
      </c>
      <c r="F147" s="17">
        <v>31</v>
      </c>
      <c r="G147" s="19">
        <f>IF(FEBRERO[[#This Row],[Dias a vencer]]="","",E147+F147)</f>
        <v>45078</v>
      </c>
      <c r="H147" s="17" t="str">
        <f t="shared" ca="1" si="8"/>
        <v>Faltan 27 dias</v>
      </c>
      <c r="I147" s="17" t="s">
        <v>13</v>
      </c>
      <c r="J147" s="20">
        <v>20</v>
      </c>
      <c r="K147" s="17">
        <f t="shared" ca="1" si="9"/>
        <v>27</v>
      </c>
      <c r="L147" s="17"/>
      <c r="M147" s="17"/>
    </row>
    <row r="148" spans="2:13" x14ac:dyDescent="0.3">
      <c r="B148" s="17">
        <f>ROW()-ROW(FEBRERO[[#Headers],[No]])</f>
        <v>143</v>
      </c>
      <c r="C148" s="17" t="s">
        <v>141</v>
      </c>
      <c r="D148" s="22" t="s">
        <v>142</v>
      </c>
      <c r="E148" s="19">
        <v>45048</v>
      </c>
      <c r="F148" s="17">
        <v>31</v>
      </c>
      <c r="G148" s="19">
        <f>IF(FEBRERO[[#This Row],[Dias a vencer]]="","",E148+F148)</f>
        <v>45079</v>
      </c>
      <c r="H148" s="17" t="str">
        <f t="shared" ca="1" si="8"/>
        <v>Faltan 28 dias</v>
      </c>
      <c r="I148" s="17" t="s">
        <v>16</v>
      </c>
      <c r="J148" s="20">
        <v>20</v>
      </c>
      <c r="K148" s="17">
        <f t="shared" ca="1" si="9"/>
        <v>28</v>
      </c>
      <c r="L148" s="17"/>
      <c r="M148" s="17"/>
    </row>
    <row r="149" spans="2:13" x14ac:dyDescent="0.3">
      <c r="B149" s="17">
        <f>ROW()-ROW(FEBRERO[[#Headers],[No]])</f>
        <v>144</v>
      </c>
      <c r="C149" s="17" t="s">
        <v>143</v>
      </c>
      <c r="D149" s="11" t="s">
        <v>144</v>
      </c>
      <c r="E149" s="19">
        <v>45048</v>
      </c>
      <c r="F149" s="17">
        <v>31</v>
      </c>
      <c r="G149" s="19">
        <f>IF(FEBRERO[[#This Row],[Dias a vencer]]="","",E149+F149)</f>
        <v>45079</v>
      </c>
      <c r="H149" s="17" t="str">
        <f t="shared" ca="1" si="8"/>
        <v>Faltan 28 dias</v>
      </c>
      <c r="I149" s="17" t="s">
        <v>16</v>
      </c>
      <c r="J149" s="20">
        <v>17.5</v>
      </c>
      <c r="K149" s="17">
        <f t="shared" ca="1" si="9"/>
        <v>28</v>
      </c>
      <c r="L149" s="17"/>
      <c r="M149" s="17"/>
    </row>
    <row r="150" spans="2:13" x14ac:dyDescent="0.3">
      <c r="B150" s="17">
        <f>ROW()-ROW(FEBRERO[[#Headers],[No]])</f>
        <v>145</v>
      </c>
      <c r="C150" s="17" t="s">
        <v>152</v>
      </c>
      <c r="D150" s="11" t="s">
        <v>145</v>
      </c>
      <c r="E150" s="19">
        <v>45048</v>
      </c>
      <c r="F150" s="24">
        <v>31</v>
      </c>
      <c r="G150" s="19">
        <f>IF(FEBRERO[[#This Row],[Dias a vencer]]="","",E150+F150)</f>
        <v>45079</v>
      </c>
      <c r="H150" s="17" t="str">
        <f t="shared" ca="1" si="8"/>
        <v>Faltan 28 dias</v>
      </c>
      <c r="I150" s="17" t="s">
        <v>16</v>
      </c>
      <c r="J150" s="20">
        <v>17.5</v>
      </c>
      <c r="K150" s="17">
        <f t="shared" ca="1" si="9"/>
        <v>28</v>
      </c>
      <c r="L150" s="17"/>
      <c r="M150" s="17"/>
    </row>
    <row r="151" spans="2:13" x14ac:dyDescent="0.3">
      <c r="B151" s="17">
        <f>ROW()-ROW(FEBRERO[[#Headers],[No]])</f>
        <v>146</v>
      </c>
      <c r="C151" s="17" t="s">
        <v>163</v>
      </c>
      <c r="D151" s="18" t="s">
        <v>58</v>
      </c>
      <c r="E151" s="19">
        <v>45048</v>
      </c>
      <c r="F151" s="24">
        <v>31</v>
      </c>
      <c r="G151" s="19">
        <f>IF(FEBRERO[[#This Row],[Dias a vencer]]="","",E151+F151)</f>
        <v>45079</v>
      </c>
      <c r="H151" s="17" t="str">
        <f t="shared" ca="1" si="8"/>
        <v>Faltan 28 dias</v>
      </c>
      <c r="I151" s="17" t="s">
        <v>13</v>
      </c>
      <c r="J151" s="20">
        <v>20</v>
      </c>
      <c r="K151" s="17">
        <f t="shared" ca="1" si="9"/>
        <v>28</v>
      </c>
      <c r="L151" s="17"/>
      <c r="M151" s="17"/>
    </row>
    <row r="152" spans="2:13" x14ac:dyDescent="0.3">
      <c r="B152" s="17">
        <f>ROW()-ROW(FEBRERO[[#Headers],[No]])</f>
        <v>147</v>
      </c>
      <c r="C152" s="17" t="s">
        <v>186</v>
      </c>
      <c r="D152" s="18" t="s">
        <v>112</v>
      </c>
      <c r="E152" s="19">
        <v>45048</v>
      </c>
      <c r="F152" s="24">
        <v>31</v>
      </c>
      <c r="G152" s="19">
        <f>IF(FEBRERO[[#This Row],[Dias a vencer]]="","",E152+F152)</f>
        <v>45079</v>
      </c>
      <c r="H152" s="17" t="str">
        <f t="shared" ca="1" si="8"/>
        <v>Faltan 28 dias</v>
      </c>
      <c r="I152" s="17" t="s">
        <v>13</v>
      </c>
      <c r="J152" s="20">
        <v>20</v>
      </c>
      <c r="K152" s="17">
        <f t="shared" ca="1" si="9"/>
        <v>28</v>
      </c>
      <c r="L152" s="17"/>
      <c r="M152" s="17"/>
    </row>
    <row r="153" spans="2:13" x14ac:dyDescent="0.3">
      <c r="B153" s="17">
        <f>ROW()-ROW(FEBRERO[[#Headers],[No]])</f>
        <v>148</v>
      </c>
      <c r="C153" s="17" t="s">
        <v>193</v>
      </c>
      <c r="D153" s="11" t="s">
        <v>125</v>
      </c>
      <c r="E153" s="12">
        <v>45048</v>
      </c>
      <c r="F153" s="24">
        <v>31</v>
      </c>
      <c r="G153" s="19">
        <f>IF(FEBRERO[[#This Row],[Dias a vencer]]="","",E153+F153)</f>
        <v>45079</v>
      </c>
      <c r="H153" s="17" t="str">
        <f t="shared" ca="1" si="8"/>
        <v>Faltan 28 dias</v>
      </c>
      <c r="I153" s="17" t="s">
        <v>13</v>
      </c>
      <c r="J153" s="20">
        <v>20</v>
      </c>
      <c r="K153" s="17">
        <f t="shared" ca="1" si="9"/>
        <v>28</v>
      </c>
      <c r="L153" s="17"/>
      <c r="M153" s="17"/>
    </row>
    <row r="154" spans="2:13" x14ac:dyDescent="0.3">
      <c r="B154" s="17">
        <f>ROW()-ROW(FEBRERO[[#Headers],[No]])</f>
        <v>149</v>
      </c>
      <c r="C154" s="17" t="s">
        <v>195</v>
      </c>
      <c r="D154" s="11" t="s">
        <v>64</v>
      </c>
      <c r="E154" s="12">
        <v>45048</v>
      </c>
      <c r="F154" s="24">
        <v>31</v>
      </c>
      <c r="G154" s="19">
        <f>IF(FEBRERO[[#This Row],[Dias a vencer]]="","",E154+F154)</f>
        <v>45079</v>
      </c>
      <c r="H154" s="17" t="str">
        <f t="shared" ca="1" si="8"/>
        <v>Faltan 28 dias</v>
      </c>
      <c r="I154" s="17" t="s">
        <v>13</v>
      </c>
      <c r="J154" s="20">
        <v>20</v>
      </c>
      <c r="K154" s="17">
        <f t="shared" ca="1" si="9"/>
        <v>28</v>
      </c>
      <c r="L154" s="17"/>
      <c r="M154" s="17"/>
    </row>
    <row r="155" spans="2:13" x14ac:dyDescent="0.3">
      <c r="B155" s="17">
        <f>ROW()-ROW(FEBRERO[[#Headers],[No]])</f>
        <v>150</v>
      </c>
      <c r="C155" s="17" t="s">
        <v>196</v>
      </c>
      <c r="D155" s="11" t="s">
        <v>104</v>
      </c>
      <c r="E155" s="12">
        <v>45048</v>
      </c>
      <c r="F155" s="24">
        <v>31</v>
      </c>
      <c r="G155" s="19">
        <f>IF(FEBRERO[[#This Row],[Dias a vencer]]="","",E155+F155)</f>
        <v>45079</v>
      </c>
      <c r="H155" s="17" t="str">
        <f t="shared" ca="1" si="8"/>
        <v>Faltan 28 dias</v>
      </c>
      <c r="I155" s="17" t="s">
        <v>16</v>
      </c>
      <c r="J155" s="20">
        <v>20</v>
      </c>
      <c r="K155" s="17">
        <f t="shared" ca="1" si="9"/>
        <v>28</v>
      </c>
      <c r="L155" s="17"/>
      <c r="M155" s="17"/>
    </row>
    <row r="156" spans="2:13" x14ac:dyDescent="0.3">
      <c r="B156" s="17">
        <f>ROW()-ROW(FEBRERO[[#Headers],[No]])</f>
        <v>151</v>
      </c>
      <c r="C156" s="17" t="s">
        <v>197</v>
      </c>
      <c r="D156" s="11" t="s">
        <v>29</v>
      </c>
      <c r="E156" s="12">
        <v>45048</v>
      </c>
      <c r="F156" s="24">
        <v>31</v>
      </c>
      <c r="G156" s="19">
        <f>IF(FEBRERO[[#This Row],[Dias a vencer]]="","",E156+F156)</f>
        <v>45079</v>
      </c>
      <c r="H156" s="17" t="str">
        <f t="shared" ca="1" si="8"/>
        <v>Faltan 28 dias</v>
      </c>
      <c r="I156" s="17" t="s">
        <v>16</v>
      </c>
      <c r="J156" s="20">
        <v>20</v>
      </c>
      <c r="K156" s="17">
        <f t="shared" ca="1" si="9"/>
        <v>28</v>
      </c>
      <c r="L156" s="17"/>
      <c r="M156" s="17"/>
    </row>
    <row r="157" spans="2:13" x14ac:dyDescent="0.3">
      <c r="B157" s="17">
        <f>ROW()-ROW(FEBRERO[[#Headers],[No]])</f>
        <v>152</v>
      </c>
      <c r="C157" s="23" t="s">
        <v>153</v>
      </c>
      <c r="D157" s="11" t="s">
        <v>91</v>
      </c>
      <c r="E157" s="12">
        <v>45048</v>
      </c>
      <c r="F157" s="24">
        <v>31</v>
      </c>
      <c r="G157" s="19">
        <f>IF(FEBRERO[[#This Row],[Dias a vencer]]="","",E157+F157)</f>
        <v>45079</v>
      </c>
      <c r="H157" s="17" t="str">
        <f t="shared" ca="1" si="8"/>
        <v>Faltan 28 dias</v>
      </c>
      <c r="I157" s="17" t="s">
        <v>13</v>
      </c>
      <c r="J157" s="20">
        <v>20</v>
      </c>
      <c r="K157" s="17">
        <f t="shared" ca="1" si="9"/>
        <v>28</v>
      </c>
      <c r="L157" s="17"/>
      <c r="M157" s="17"/>
    </row>
    <row r="158" spans="2:13" x14ac:dyDescent="0.3">
      <c r="B158" s="17">
        <f>ROW()-ROW(FEBRERO[[#Headers],[No]])</f>
        <v>153</v>
      </c>
      <c r="C158" s="17" t="s">
        <v>170</v>
      </c>
      <c r="D158" s="11" t="s">
        <v>118</v>
      </c>
      <c r="E158" s="12">
        <v>45048</v>
      </c>
      <c r="F158" s="24">
        <v>31</v>
      </c>
      <c r="G158" s="19">
        <f>IF(FEBRERO[[#This Row],[Dias a vencer]]="","",E158+F158)</f>
        <v>45079</v>
      </c>
      <c r="H158" s="17" t="str">
        <f t="shared" ca="1" si="8"/>
        <v>Faltan 28 dias</v>
      </c>
      <c r="I158" s="17" t="s">
        <v>16</v>
      </c>
      <c r="J158" s="20">
        <v>20</v>
      </c>
      <c r="K158" s="17">
        <f t="shared" ca="1" si="9"/>
        <v>28</v>
      </c>
      <c r="L158" s="17"/>
      <c r="M158" s="17"/>
    </row>
    <row r="159" spans="2:13" x14ac:dyDescent="0.3">
      <c r="B159" s="17">
        <f>ROW()-ROW(FEBRERO[[#Headers],[No]])</f>
        <v>154</v>
      </c>
      <c r="C159" s="17" t="s">
        <v>167</v>
      </c>
      <c r="D159" s="11" t="s">
        <v>72</v>
      </c>
      <c r="E159" s="19">
        <v>45049</v>
      </c>
      <c r="F159" s="24">
        <v>31</v>
      </c>
      <c r="G159" s="19">
        <f>IF(FEBRERO[[#This Row],[Dias a vencer]]="","",E159+F159)</f>
        <v>45080</v>
      </c>
      <c r="H159" s="17" t="str">
        <f t="shared" ca="1" si="8"/>
        <v>Faltan 29 dias</v>
      </c>
      <c r="I159" s="17" t="s">
        <v>16</v>
      </c>
      <c r="J159" s="20">
        <v>20</v>
      </c>
      <c r="K159" s="17">
        <f t="shared" ca="1" si="9"/>
        <v>29</v>
      </c>
      <c r="L159" s="17"/>
      <c r="M159" s="17"/>
    </row>
    <row r="160" spans="2:13" x14ac:dyDescent="0.3">
      <c r="B160" s="17">
        <f>ROW()-ROW(FEBRERO[[#Headers],[No]])</f>
        <v>155</v>
      </c>
      <c r="C160" s="17" t="s">
        <v>187</v>
      </c>
      <c r="D160" s="11" t="s">
        <v>72</v>
      </c>
      <c r="E160" s="12">
        <v>45049</v>
      </c>
      <c r="F160" s="24">
        <v>31</v>
      </c>
      <c r="G160" s="19">
        <f>IF(FEBRERO[[#This Row],[Dias a vencer]]="","",E160+F160)</f>
        <v>45080</v>
      </c>
      <c r="H160" s="17" t="str">
        <f t="shared" ca="1" si="8"/>
        <v>Faltan 29 dias</v>
      </c>
      <c r="I160" s="17" t="s">
        <v>16</v>
      </c>
      <c r="J160" s="20">
        <v>17.5</v>
      </c>
      <c r="K160" s="17">
        <f t="shared" ca="1" si="9"/>
        <v>29</v>
      </c>
      <c r="L160" s="17"/>
      <c r="M160" s="17"/>
    </row>
    <row r="161" spans="2:13" x14ac:dyDescent="0.3">
      <c r="B161" s="17">
        <f>ROW()-ROW(FEBRERO[[#Headers],[No]])</f>
        <v>156</v>
      </c>
      <c r="C161" s="17" t="s">
        <v>198</v>
      </c>
      <c r="D161" s="22" t="s">
        <v>137</v>
      </c>
      <c r="E161" s="12">
        <v>45049</v>
      </c>
      <c r="F161" s="24">
        <v>31</v>
      </c>
      <c r="G161" s="19">
        <f>IF(FEBRERO[[#This Row],[Dias a vencer]]="","",E161+F161)</f>
        <v>45080</v>
      </c>
      <c r="H161" s="17" t="str">
        <f t="shared" ca="1" si="8"/>
        <v>Faltan 29 dias</v>
      </c>
      <c r="I161" s="17" t="s">
        <v>13</v>
      </c>
      <c r="J161" s="20">
        <v>17.5</v>
      </c>
      <c r="K161" s="17">
        <f t="shared" ca="1" si="9"/>
        <v>29</v>
      </c>
      <c r="L161" s="17"/>
      <c r="M161" s="17"/>
    </row>
    <row r="162" spans="2:13" x14ac:dyDescent="0.3">
      <c r="B162" s="17">
        <f>ROW()-ROW(FEBRERO[[#Headers],[No]])</f>
        <v>157</v>
      </c>
      <c r="C162" s="17" t="s">
        <v>120</v>
      </c>
      <c r="D162" s="11" t="s">
        <v>121</v>
      </c>
      <c r="E162" s="12">
        <v>45050</v>
      </c>
      <c r="F162" s="24">
        <v>31</v>
      </c>
      <c r="G162" s="19">
        <f>IF(FEBRERO[[#This Row],[Dias a vencer]]="","",E162+F162)</f>
        <v>45081</v>
      </c>
      <c r="H162" s="17" t="str">
        <f t="shared" ca="1" si="8"/>
        <v>Faltan 30 dias</v>
      </c>
      <c r="I162" s="17" t="s">
        <v>16</v>
      </c>
      <c r="J162" s="20">
        <v>20</v>
      </c>
      <c r="K162" s="17">
        <f t="shared" ca="1" si="9"/>
        <v>30</v>
      </c>
      <c r="L162" s="17">
        <v>2</v>
      </c>
      <c r="M162" s="17"/>
    </row>
    <row r="163" spans="2:13" x14ac:dyDescent="0.3">
      <c r="B163" s="17">
        <f>ROW()-ROW(FEBRERO[[#Headers],[No]])</f>
        <v>158</v>
      </c>
      <c r="C163" s="17" t="s">
        <v>146</v>
      </c>
      <c r="D163" s="11" t="s">
        <v>147</v>
      </c>
      <c r="E163" s="19">
        <v>45050</v>
      </c>
      <c r="F163" s="24">
        <v>31</v>
      </c>
      <c r="G163" s="19">
        <f>IF(FEBRERO[[#This Row],[Dias a vencer]]="","",E163+F163)</f>
        <v>45081</v>
      </c>
      <c r="H163" s="17" t="str">
        <f t="shared" ca="1" si="8"/>
        <v>Faltan 30 dias</v>
      </c>
      <c r="I163" s="17" t="s">
        <v>16</v>
      </c>
      <c r="J163" s="20">
        <v>20</v>
      </c>
      <c r="K163" s="17">
        <f t="shared" ca="1" si="9"/>
        <v>30</v>
      </c>
      <c r="L163" s="17"/>
      <c r="M163" s="17"/>
    </row>
    <row r="164" spans="2:13" x14ac:dyDescent="0.3">
      <c r="B164" s="17">
        <f>ROW()-ROW(FEBRERO[[#Headers],[No]])</f>
        <v>159</v>
      </c>
      <c r="C164" s="17" t="s">
        <v>165</v>
      </c>
      <c r="D164" s="11" t="s">
        <v>110</v>
      </c>
      <c r="E164" s="19">
        <v>45050</v>
      </c>
      <c r="F164" s="24">
        <v>31</v>
      </c>
      <c r="G164" s="19">
        <f>IF(FEBRERO[[#This Row],[Dias a vencer]]="","",E164+F164)</f>
        <v>45081</v>
      </c>
      <c r="H164" s="17" t="str">
        <f t="shared" ca="1" si="8"/>
        <v>Faltan 30 dias</v>
      </c>
      <c r="I164" s="17" t="s">
        <v>13</v>
      </c>
      <c r="J164" s="20">
        <v>20</v>
      </c>
      <c r="K164" s="17">
        <f t="shared" ca="1" si="9"/>
        <v>30</v>
      </c>
      <c r="L164" s="17"/>
      <c r="M164" s="17"/>
    </row>
    <row r="165" spans="2:13" x14ac:dyDescent="0.3">
      <c r="B165" s="17">
        <f>ROW()-ROW(FEBRERO[[#Headers],[No]])</f>
        <v>160</v>
      </c>
      <c r="C165" s="17" t="s">
        <v>178</v>
      </c>
      <c r="D165" s="11" t="s">
        <v>29</v>
      </c>
      <c r="E165" s="19">
        <v>45050</v>
      </c>
      <c r="F165" s="24">
        <v>31</v>
      </c>
      <c r="G165" s="19">
        <f>IF(FEBRERO[[#This Row],[Dias a vencer]]="","",E165+F165)</f>
        <v>45081</v>
      </c>
      <c r="H165" s="17" t="str">
        <f t="shared" ca="1" si="8"/>
        <v>Faltan 30 dias</v>
      </c>
      <c r="I165" s="17" t="s">
        <v>13</v>
      </c>
      <c r="J165" s="20">
        <v>20</v>
      </c>
      <c r="K165" s="17">
        <f t="shared" ca="1" si="9"/>
        <v>30</v>
      </c>
      <c r="L165" s="17"/>
      <c r="M165" s="17"/>
    </row>
    <row r="166" spans="2:13" x14ac:dyDescent="0.3">
      <c r="B166" s="17">
        <f>ROW()-ROW(FEBRERO[[#Headers],[No]])</f>
        <v>161</v>
      </c>
      <c r="C166" s="17" t="s">
        <v>199</v>
      </c>
      <c r="D166" s="11" t="s">
        <v>58</v>
      </c>
      <c r="E166" s="19">
        <v>45050</v>
      </c>
      <c r="F166" s="24">
        <v>31</v>
      </c>
      <c r="G166" s="19">
        <f>IF(FEBRERO[[#This Row],[Dias a vencer]]="","",E166+F166)</f>
        <v>45081</v>
      </c>
      <c r="H166" s="17" t="str">
        <f t="shared" ca="1" si="8"/>
        <v>Faltan 30 dias</v>
      </c>
      <c r="I166" s="17" t="s">
        <v>16</v>
      </c>
      <c r="J166" s="20">
        <v>20</v>
      </c>
      <c r="K166" s="17">
        <f t="shared" ca="1" si="9"/>
        <v>30</v>
      </c>
      <c r="L166" s="17">
        <v>2</v>
      </c>
      <c r="M166" s="17"/>
    </row>
  </sheetData>
  <conditionalFormatting sqref="H6:H166">
    <cfRule type="expression" dxfId="20" priority="15">
      <formula>$K6&gt;=4</formula>
    </cfRule>
    <cfRule type="expression" dxfId="19" priority="16">
      <formula>AND($K6&gt;0,$K6&lt;4)</formula>
    </cfRule>
    <cfRule type="expression" dxfId="18" priority="17">
      <formula>$K6=0</formula>
    </cfRule>
    <cfRule type="expression" dxfId="17" priority="18">
      <formula>$K6&lt;0</formula>
    </cfRule>
  </conditionalFormatting>
  <conditionalFormatting sqref="B6:M166">
    <cfRule type="expression" dxfId="16" priority="14">
      <formula>ROW()=CELL("FILA")</formula>
    </cfRule>
  </conditionalFormatting>
  <dataValidations count="1">
    <dataValidation type="list" allowBlank="1" showInputMessage="1" showErrorMessage="1" sqref="I6:I166" xr:uid="{E054EC48-5386-4B7C-B902-87660C2BB129}">
      <formula1>"Tranferencia, Efectivo"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2023-05-04T23:17:16Z</dcterms:created>
  <dcterms:modified xsi:type="dcterms:W3CDTF">2023-05-05T23:15:29Z</dcterms:modified>
</cp:coreProperties>
</file>